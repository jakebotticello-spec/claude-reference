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By Category" sheetId="2" state="visible" r:id="rId4"/>
  </sheets>
  <definedNames>
    <definedName function="false" hidden="true" localSheetId="0" name="_xlnm._FilterDatabase" vbProcedure="false">Menu!$A$1:$H$164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<sst xmlns="http://schemas.openxmlformats.org/spreadsheetml/2006/main" count="999" uniqueCount="463">
  <si>
    <t xml:space="preserve">Tier</t>
  </si>
  <si>
    <t xml:space="preserve">Repo</t>
  </si>
  <si>
    <t xml:space="preserve">Stars</t>
  </si>
  <si>
    <t xml:space="preserve">Category</t>
  </si>
  <si>
    <t xml:space="preserve">Lang</t>
  </si>
  <si>
    <t xml:space="preserve">What it is</t>
  </si>
  <si>
    <t xml:space="preserve">Why it's for you</t>
  </si>
  <si>
    <t xml:space="preserve">Tags</t>
  </si>
  <si>
    <t xml:space="preserve">Structure &amp; Code Viz</t>
  </si>
  <si>
    <t xml:space="preserve">GEM</t>
  </si>
  <si>
    <t xml:space="preserve">safishamsi/graphify</t>
  </si>
  <si>
    <t xml:space="preserve">Python</t>
  </si>
  <si>
    <t xml:space="preserve">Code, SQL schemas, docs, images &amp; video → one queryable knowledge graph</t>
  </si>
  <si>
    <t xml:space="preserve">Hold your whole multi-stack system (Wix+React+Supabase+NAS) in your head by looking at it</t>
  </si>
  <si>
    <t xml:space="preserve">structure, apparatus</t>
  </si>
  <si>
    <t xml:space="preserve">Lum1104/Understand-Anything</t>
  </si>
  <si>
    <t xml:space="preserve">TypeScript</t>
  </si>
  <si>
    <t xml:space="preserve">Any codebase/docs → interactive knowledge graph you explore &amp; ask questions</t>
  </si>
  <si>
    <t xml:space="preserve">Understand what Claude shipped you without reading source</t>
  </si>
  <si>
    <t xml:space="preserve">structure</t>
  </si>
  <si>
    <t xml:space="preserve">oh-my-mermaid/oh-my-mermaid</t>
  </si>
  <si>
    <t xml:space="preserve">Codebase → navigable Mermaid architecture diagrams</t>
  </si>
  <si>
    <t xml:space="preserve">Auto architecture maps — 'AI writes in seconds, humans understand in hours'</t>
  </si>
  <si>
    <t xml:space="preserve">nanoapi-io/napi</t>
  </si>
  <si>
    <t xml:space="preserve">Offline CLI: analyze architecture (deps/complexity/structure), visualize &amp; refactor</t>
  </si>
  <si>
    <t xml:space="preserve">Architecture x-ray, runs offline so client code stays local</t>
  </si>
  <si>
    <t xml:space="preserve">QuinnAho/claudemap</t>
  </si>
  <si>
    <t xml:space="preserve">JavaScript</t>
  </si>
  <si>
    <t xml:space="preserve">'Google Maps for vibecoders' — map of what you built</t>
  </si>
  <si>
    <t xml:space="preserve">Built for the exact can't-read-your-own-code gap</t>
  </si>
  <si>
    <t xml:space="preserve">NOTABLE</t>
  </si>
  <si>
    <t xml:space="preserve">chunkhound/chunkhound</t>
  </si>
  <si>
    <t xml:space="preserve">Local-first codebase intelligence; extracts architecture &amp; patterns</t>
  </si>
  <si>
    <t xml:space="preserve">Jakedismo/codegraph-rust</t>
  </si>
  <si>
    <t xml:space="preserve">Rust</t>
  </si>
  <si>
    <t xml:space="preserve">Codebase → semantic knowledge graph (AST+ML, SurrealDB, MCP)</t>
  </si>
  <si>
    <t xml:space="preserve">proxysoul/soulforge</t>
  </si>
  <si>
    <t xml:space="preserve">Edits symbols not strings; AST surgery + live code graph wired to memory</t>
  </si>
  <si>
    <t xml:space="preserve">harshkedia177/axon</t>
  </si>
  <si>
    <t xml:space="preserve">Graph-powered code intelligence, KG via MCP+CLI</t>
  </si>
  <si>
    <t xml:space="preserve">8b-is/smart-tree</t>
  </si>
  <si>
    <t xml:space="preserve">AI-aware `tree` replacement + visual dashboard, semantic search</t>
  </si>
  <si>
    <t xml:space="preserve">Visual file tree (ignore the 'quantum' marketing)</t>
  </si>
  <si>
    <t xml:space="preserve">Corbell-AI/Corbell</t>
  </si>
  <si>
    <t xml:space="preserve">Multi-repo architecture graph + AI spec gen &amp; review</t>
  </si>
  <si>
    <t xml:space="preserve">If Pyris/CCF code spans repos</t>
  </si>
  <si>
    <t xml:space="preserve">ozgurcd/gograph</t>
  </si>
  <si>
    <t xml:space="preserve">Go</t>
  </si>
  <si>
    <t xml:space="preserve">Local repo-structure viz (Go-only)</t>
  </si>
  <si>
    <t xml:space="preserve">helixml/kodit</t>
  </si>
  <si>
    <t xml:space="preserve">Index git repos, search via MCP + REST</t>
  </si>
  <si>
    <t xml:space="preserve">st3v3nmw/sourcerer-mcp</t>
  </si>
  <si>
    <t xml:space="preserve">Semantic code search &amp; navigation, token reduction</t>
  </si>
  <si>
    <t xml:space="preserve">Lekssays/codebadger</t>
  </si>
  <si>
    <t xml:space="preserve">Static code analysis via Joern Code Property Graph, 12 languages</t>
  </si>
  <si>
    <t xml:space="preserve">Orchestration &amp; Multi-Agent</t>
  </si>
  <si>
    <t xml:space="preserve">nyldn/claude-octopus</t>
  </si>
  <si>
    <t xml:space="preserve">Shell</t>
  </si>
  <si>
    <t xml:space="preserve">Run up to 8 models on every task to surface blindspots</t>
  </si>
  <si>
    <t xml:space="preserve">Cross-model safety net for a non-coder (you loved this)</t>
  </si>
  <si>
    <t xml:space="preserve">orchestration</t>
  </si>
  <si>
    <t xml:space="preserve">asheshgoplani/agent-deck</t>
  </si>
  <si>
    <t xml:space="preserve">TUI session manager for running multiple coding agents</t>
  </si>
  <si>
    <t xml:space="preserve">Cockpit for your parallel OC/CC windows</t>
  </si>
  <si>
    <t xml:space="preserve">orchestration, adhd</t>
  </si>
  <si>
    <t xml:space="preserve">collaborator-ai/collab-public</t>
  </si>
  <si>
    <t xml:space="preserve">Infinite canvas — terminals, context &amp; code spatially arranged</t>
  </si>
  <si>
    <t xml:space="preserve">Spatial workspace for the parallel brain (you loved this)</t>
  </si>
  <si>
    <t xml:space="preserve">patoles/agent-flow</t>
  </si>
  <si>
    <t xml:space="preserve">Real-time visualization of agent orchestration — watch them think/branch/coordinate</t>
  </si>
  <si>
    <t xml:space="preserve">See your OC/CC coordination live</t>
  </si>
  <si>
    <t xml:space="preserve">voicetreelab/voicetree</t>
  </si>
  <si>
    <t xml:space="preserve">Spatial IDE — an Obsidian graph-view you work *inside*, recursive multi-agent</t>
  </si>
  <si>
    <t xml:space="preserve">collab-public's cousin; nodes are files OR running agents</t>
  </si>
  <si>
    <t xml:space="preserve">kdlbs/kandev</t>
  </si>
  <si>
    <t xml:space="preserve">AI Kanban + dev env: orchestrate agents, review changes, open PRs; self-host</t>
  </si>
  <si>
    <t xml:space="preserve">Kanban cockpit — your PM brain + parallel agents</t>
  </si>
  <si>
    <t xml:space="preserve">DatafyingTech/Claude-Agent-Team-Manager</t>
  </si>
  <si>
    <t xml:space="preserve">Visual org-chart desktop app for managing CC agent teams/skills/configs</t>
  </si>
  <si>
    <t xml:space="preserve">Your COO org-chart brain made literal</t>
  </si>
  <si>
    <t xml:space="preserve">superset-sh/superset</t>
  </si>
  <si>
    <t xml:space="preserve">Code editor for the agent era; run swarms of agents</t>
  </si>
  <si>
    <t xml:space="preserve">ogulcancelik/herdr</t>
  </si>
  <si>
    <t xml:space="preserve">Agent multiplexer in your terminal</t>
  </si>
  <si>
    <t xml:space="preserve">agent-of-empires/agent-of-empires</t>
  </si>
  <si>
    <t xml:space="preserve">Run multiple agents in parallel, TUI or web/mobile</t>
  </si>
  <si>
    <t xml:space="preserve">Mobile access to parallel agents</t>
  </si>
  <si>
    <t xml:space="preserve">DeepMyst/Mysti</t>
  </si>
  <si>
    <t xml:space="preserve">VS Code AI dream team — brainstorm, debate, synthesize</t>
  </si>
  <si>
    <t xml:space="preserve">marcus/sidecar</t>
  </si>
  <si>
    <t xml:space="preserve">Diffs, file trees, conversation history, task mgmt beside CLI agents</t>
  </si>
  <si>
    <t xml:space="preserve">File trees + history in one shell</t>
  </si>
  <si>
    <t xml:space="preserve">milisp/codexia</t>
  </si>
  <si>
    <t xml:space="preserve">Agent workstation: task scheduler, git worktree, remote control</t>
  </si>
  <si>
    <t xml:space="preserve">loocor/codmate</t>
  </si>
  <si>
    <t xml:space="preserve">Swift</t>
  </si>
  <si>
    <t xml:space="preserve">macOS app to browse/search/resume/review CLI AI sessions</t>
  </si>
  <si>
    <t xml:space="preserve">MiniCodeMonkey/chief</t>
  </si>
  <si>
    <t xml:space="preserve">Breaks big projects into tasks, runs CC in a loop until done</t>
  </si>
  <si>
    <t xml:space="preserve">Ark0N/Codeman</t>
  </si>
  <si>
    <t xml:space="preserve">Manage CC/Opencode in tmux via mobile-first WebUI</t>
  </si>
  <si>
    <t xml:space="preserve">timwuhaotian/the-pair</t>
  </si>
  <si>
    <t xml:space="preserve">Two agents cross-check each other's work</t>
  </si>
  <si>
    <t xml:space="preserve">zippoxer/subtask</t>
  </si>
  <si>
    <t xml:space="preserve">Subagents in git worktrees, run in parallel</t>
  </si>
  <si>
    <t xml:space="preserve">aannoo/hcom</t>
  </si>
  <si>
    <t xml:space="preserve">Agents message/watch/spawn each other across terminals</t>
  </si>
  <si>
    <t xml:space="preserve">sudocode-ai/sudocode</t>
  </si>
  <si>
    <t xml:space="preserve">Lightweight agent orchestration that lives in your repo</t>
  </si>
  <si>
    <t xml:space="preserve">OpenSource03/harnss</t>
  </si>
  <si>
    <t xml:space="preserve">Run multiple agents side by side, rich tool visualization</t>
  </si>
  <si>
    <t xml:space="preserve">onikan27/claude-code-monitor</t>
  </si>
  <si>
    <t xml:space="preserve">Real-time multi-session dashboard, mobile/QR access</t>
  </si>
  <si>
    <t xml:space="preserve">geezerrrr/motive</t>
  </si>
  <si>
    <t xml:space="preserve">Background agent in menu bar, finds you when it needs you</t>
  </si>
  <si>
    <t xml:space="preserve">Set-and-forget (ADHD)</t>
  </si>
  <si>
    <t xml:space="preserve">montanaflynn/botctl</t>
  </si>
  <si>
    <t xml:space="preserve">Manage persistent AI bots, terminal dashboard + web UI</t>
  </si>
  <si>
    <t xml:space="preserve">Maker &amp; Hardware</t>
  </si>
  <si>
    <t xml:space="preserve">yousifamanuel/clawd-mochi</t>
  </si>
  <si>
    <t xml:space="preserve">C++</t>
  </si>
  <si>
    <t xml:space="preserve">Physical desk companion (ESP32-C3 + TFT + web controller)</t>
  </si>
  <si>
    <t xml:space="preserve">Buildable desk pet — print &amp; solder weekend</t>
  </si>
  <si>
    <t xml:space="preserve">maker</t>
  </si>
  <si>
    <t xml:space="preserve">DMontgomery40/mcp-3D-printer-server</t>
  </si>
  <si>
    <t xml:space="preserve">MCP to printer APIs incl. Bambu; control prints + STL ops (scale/rotate/section/slice/viz)</t>
  </si>
  <si>
    <t xml:space="preserve">Control your P1S and manipulate STLs by talking to Claude</t>
  </si>
  <si>
    <t xml:space="preserve">op7418/m5-paper-buddy</t>
  </si>
  <si>
    <t xml:space="preserve">M5Paper e-ink physical multi-session CC dashboard + hardware approve buttons</t>
  </si>
  <si>
    <t xml:space="preserve">Glanceable physical board for your parallel windows</t>
  </si>
  <si>
    <t xml:space="preserve">dhakalnirajan/blender-open-mcp</t>
  </si>
  <si>
    <t xml:space="preserve">Control Blender 3D via natural language (Ollama/MCP)</t>
  </si>
  <si>
    <t xml:space="preserve">Model prints for your P1S you can't find online</t>
  </si>
  <si>
    <t xml:space="preserve">chrishutchinson/claude-receipts</t>
  </si>
  <si>
    <t xml:space="preserve">Thermal receipt printer prints a receipt of every CC session</t>
  </si>
  <si>
    <t xml:space="preserve">Pure maker joy</t>
  </si>
  <si>
    <t xml:space="preserve">cuneytozseker/TinyProgrammer</t>
  </si>
  <si>
    <t xml:space="preserve">Raspberry Pi that writes &amp; runs Python forever at human speed</t>
  </si>
  <si>
    <t xml:space="preserve">Maker curiosity</t>
  </si>
  <si>
    <t xml:space="preserve">ricardoquesada/regenerator2000</t>
  </si>
  <si>
    <t xml:space="preserve">C64 6502 disassembler — flow arrows, x-ref, MCP auto-analysis</t>
  </si>
  <si>
    <t xml:space="preserve">Retro maker delight</t>
  </si>
  <si>
    <t xml:space="preserve">horw/esp-mcp</t>
  </si>
  <si>
    <t xml:space="preserve">LLM-driven ESP32 / ESP-IDF commands</t>
  </si>
  <si>
    <t xml:space="preserve">Home-lab</t>
  </si>
  <si>
    <t xml:space="preserve">maker, home-lab</t>
  </si>
  <si>
    <t xml:space="preserve">Visuals &amp; Deliverables</t>
  </si>
  <si>
    <t xml:space="preserve">antvis/mcp-server-chart</t>
  </si>
  <si>
    <t xml:space="preserve">25+ chart types via MCP for data analysis</t>
  </si>
  <si>
    <t xml:space="preserve">Generate Pyris deliverable visuals without coding</t>
  </si>
  <si>
    <t xml:space="preserve">viz, pyris</t>
  </si>
  <si>
    <t xml:space="preserve">YuChenSSR/mindmap-mcp-server</t>
  </si>
  <si>
    <t xml:space="preserve">Markdown → interactive mindmap</t>
  </si>
  <si>
    <t xml:space="preserve">Mindmaps off your context files (ADHD-visual)</t>
  </si>
  <si>
    <t xml:space="preserve">viz, adhd</t>
  </si>
  <si>
    <t xml:space="preserve">hubeiqiao/apple-bento-grid</t>
  </si>
  <si>
    <t xml:space="preserve">HTML</t>
  </si>
  <si>
    <t xml:space="preserve">Apple-style bento-grid presentation cards as self-contained HTML</t>
  </si>
  <si>
    <t xml:space="preserve">Premium deck cards for Pyris/CCF</t>
  </si>
  <si>
    <t xml:space="preserve">viz, pyris, ccf</t>
  </si>
  <si>
    <t xml:space="preserve">caylent/tufte-data-viz</t>
  </si>
  <si>
    <t xml:space="preserve">Edward Tufte data-viz principles across Recharts/ECharts/Plotly/D3</t>
  </si>
  <si>
    <t xml:space="preserve">McKinsey-grade Pyris charts, no plotting code</t>
  </si>
  <si>
    <t xml:space="preserve">careerhackeralex/visualize</t>
  </si>
  <si>
    <t xml:space="preserve">Any idea → beautiful self-contained HTML visualization, one prompt</t>
  </si>
  <si>
    <t xml:space="preserve">Fast visuals for a non-coder</t>
  </si>
  <si>
    <t xml:space="preserve">viz</t>
  </si>
  <si>
    <t xml:space="preserve">SamurAIGPT/Generative-Media-Skills</t>
  </si>
  <si>
    <t xml:space="preserve">Multimodal image/video/audio generation skills</t>
  </si>
  <si>
    <t xml:space="preserve">Brand assets</t>
  </si>
  <si>
    <t xml:space="preserve">llmsresearch/paperbanana</t>
  </si>
  <si>
    <t xml:space="preserve">Automated figures, diagrams &amp; slides</t>
  </si>
  <si>
    <t xml:space="preserve">gaopengbin/cesium-mcp</t>
  </si>
  <si>
    <t xml:space="preserve">CesiumJS 3D globe control — natural language to 3D GIS</t>
  </si>
  <si>
    <t xml:space="preserve">Design &amp; Brand</t>
  </si>
  <si>
    <t xml:space="preserve">meodai/skill.color-expert</t>
  </si>
  <si>
    <t xml:space="preserve">-</t>
  </si>
  <si>
    <t xml:space="preserve">Color science: spaces, accessibility (APCA/WCAG), palette generation</t>
  </si>
  <si>
    <t xml:space="preserve">Check &amp; generate your brand palettes (Pyris crimson, CCF green)</t>
  </si>
  <si>
    <t xml:space="preserve">design, pyris, ccf</t>
  </si>
  <si>
    <t xml:space="preserve">Adityaraj0421/naksha-studio</t>
  </si>
  <si>
    <t xml:space="preserve">'Your agency's design brain' — 26 design roles in your terminal</t>
  </si>
  <si>
    <t xml:space="preserve">On-call design team for the consultancy</t>
  </si>
  <si>
    <t xml:space="preserve">jau123/MeiGen-AI-Design-MCP</t>
  </si>
  <si>
    <t xml:space="preserve">Image/video gen MCP — 9 models, 1400-prompt library</t>
  </si>
  <si>
    <t xml:space="preserve">design</t>
  </si>
  <si>
    <t xml:space="preserve">rohitg00/awesome-claude-design</t>
  </si>
  <si>
    <t xml:space="preserve">Claude Design prompts by aesthetic family, remix recipes</t>
  </si>
  <si>
    <t xml:space="preserve">Web/brand design reference</t>
  </si>
  <si>
    <t xml:space="preserve">AgriciDaniel/banana-claude</t>
  </si>
  <si>
    <t xml:space="preserve">Image gen skill — Claude as Creative Director (Gemini)</t>
  </si>
  <si>
    <t xml:space="preserve">mikesheehan54/Claude-Code-Design-AI</t>
  </si>
  <si>
    <t xml:space="preserve">UI/UX architect: screenshot→React, Figma, Tailwind, design systems</t>
  </si>
  <si>
    <t xml:space="preserve">aayushsoam/motionsites.ai</t>
  </si>
  <si>
    <t xml:space="preserve">65 high-quality AI web-design prompts</t>
  </si>
  <si>
    <t xml:space="preserve">For your animated landing pages</t>
  </si>
  <si>
    <t xml:space="preserve">design, pyris</t>
  </si>
  <si>
    <t xml:space="preserve">shinpr/mcp-image</t>
  </si>
  <si>
    <t xml:space="preserve">AI image gen/edit MCP with prompt optimization (Nano Banana/Gemini)</t>
  </si>
  <si>
    <t xml:space="preserve">aplaceforallmystuff/claude-art-skill</t>
  </si>
  <si>
    <t xml:space="preserve">Visual content system — 16 workflows, brand customization</t>
  </si>
  <si>
    <t xml:space="preserve">Knowledge &amp; Context (PKM)</t>
  </si>
  <si>
    <t xml:space="preserve">agenticnotetaking/arscontexta</t>
  </si>
  <si>
    <t xml:space="preserve">Derives a cognitive architecture (folders/context files) from a conversation; markdown you own</t>
  </si>
  <si>
    <t xml:space="preserve">Built around how YOU think; you own the files</t>
  </si>
  <si>
    <t xml:space="preserve">pkm, adhd</t>
  </si>
  <si>
    <t xml:space="preserve">specstoryai/getspecstory</t>
  </si>
  <si>
    <t xml:space="preserve">Turn AI dev conversations into searchable knowledge, local-first</t>
  </si>
  <si>
    <t xml:space="preserve">Capture the decisions buried in chat</t>
  </si>
  <si>
    <t xml:space="preserve">pkm</t>
  </si>
  <si>
    <t xml:space="preserve">egroup-labs/kept</t>
  </si>
  <si>
    <t xml:space="preserve">Search/archive/recall AI conversations cross-tool, local-first MIT</t>
  </si>
  <si>
    <t xml:space="preserve">Cross-tool version of your context-file discipline (own data)</t>
  </si>
  <si>
    <t xml:space="preserve">AgriciDaniel/claude-obsidian</t>
  </si>
  <si>
    <t xml:space="preserve">Claude+Obsidian compounding wiki vault (Karpathy LLM-wiki pattern)</t>
  </si>
  <si>
    <t xml:space="preserve">Rewrites on ingest (substrate-fail) but useful as PKM</t>
  </si>
  <si>
    <t xml:space="preserve">SamurAIGPT/llm-wiki-agent</t>
  </si>
  <si>
    <t xml:space="preserve">Self-building interlinked wiki from dropped sources</t>
  </si>
  <si>
    <t xml:space="preserve">ballred/obsidian-claude-pkm</t>
  </si>
  <si>
    <t xml:space="preserve">Obsidian+CC PKM tying 3-yr vision to today; accountability</t>
  </si>
  <si>
    <t xml:space="preserve">Accountability framing for the execution gap</t>
  </si>
  <si>
    <t xml:space="preserve">bassimeledath/dispatch</t>
  </si>
  <si>
    <t xml:space="preserve">10x effective context window by dispatching to background workers</t>
  </si>
  <si>
    <t xml:space="preserve">context</t>
  </si>
  <si>
    <t xml:space="preserve">aaronsb/obsidian-mcp-plugin</t>
  </si>
  <si>
    <t xml:space="preserve">High-perf MCP for Obsidian, semantic vault access</t>
  </si>
  <si>
    <t xml:space="preserve">ergut/mcp-logseq</t>
  </si>
  <si>
    <t xml:space="preserve">LogSeq MCP — read/write graph, semantic search</t>
  </si>
  <si>
    <t xml:space="preserve">cbcoutinho/nextcloud-mcp-server</t>
  </si>
  <si>
    <t xml:space="preserve">Natural-language control of your Nextcloud</t>
  </si>
  <si>
    <t xml:space="preserve">Self-hosted file control (your NAS world)</t>
  </si>
  <si>
    <t xml:space="preserve">home-lab</t>
  </si>
  <si>
    <t xml:space="preserve">lostintangent/gistpad-mcp</t>
  </si>
  <si>
    <t xml:space="preserve">Notes/daily/prompts via GitHub Gists</t>
  </si>
  <si>
    <t xml:space="preserve">alekspetrov/navigator</t>
  </si>
  <si>
    <t xml:space="preserve">Context engineering — sessions last 20+ exchanges, not 7; 'finish what you start'</t>
  </si>
  <si>
    <t xml:space="preserve">Session longevity for long builds (ADHD)</t>
  </si>
  <si>
    <t xml:space="preserve">context, adhd</t>
  </si>
  <si>
    <t xml:space="preserve">entanglr/zettelkasten-mcp</t>
  </si>
  <si>
    <t xml:space="preserve">Atomic linked notes via MCP</t>
  </si>
  <si>
    <t xml:space="preserve">Your context-file discipline</t>
  </si>
  <si>
    <t xml:space="preserve">alondmnt/joplin-mcp</t>
  </si>
  <si>
    <t xml:space="preserve">Joplin notes via MCP</t>
  </si>
  <si>
    <t xml:space="preserve">robertoshimizu/session-graph</t>
  </si>
  <si>
    <t xml:space="preserve">Scattered AI sessions → queryable knowledge graph (W3C ontology, SPARQL)</t>
  </si>
  <si>
    <t xml:space="preserve">Apparatus thesis applied to sessions (own data)</t>
  </si>
  <si>
    <t xml:space="preserve">pkm, apparatus</t>
  </si>
  <si>
    <t xml:space="preserve">Templating &amp; Scaffolding</t>
  </si>
  <si>
    <t xml:space="preserve">KhazP/vibe-coding-prompt-template</t>
  </si>
  <si>
    <t xml:space="preserve">PRD / Tech-Design / MVP templates + agent-docs workflow</t>
  </si>
  <si>
    <t xml:space="preserve">Your versioned-context discipline as a reusable kit</t>
  </si>
  <si>
    <t xml:space="preserve">templating, pyris</t>
  </si>
  <si>
    <t xml:space="preserve">bartstc/vite-ts-react-template</t>
  </si>
  <si>
    <t xml:space="preserve">Production-ready React SPA starter</t>
  </si>
  <si>
    <t xml:space="preserve">Cold-start template — the Pyris site IS a React SPA</t>
  </si>
  <si>
    <t xml:space="preserve">jezweb/claude-skills</t>
  </si>
  <si>
    <t xml:space="preserve">Production skills: Cloudflare / React / Tailwind</t>
  </si>
  <si>
    <t xml:space="preserve">Your stack</t>
  </si>
  <si>
    <t xml:space="preserve">skillpack</t>
  </si>
  <si>
    <t xml:space="preserve">levnikolaevich/claude-code-skills</t>
  </si>
  <si>
    <t xml:space="preserve">Plugin suite: agile pipeline, multi-model review, codebase audits</t>
  </si>
  <si>
    <t xml:space="preserve">modu-ai/cowork-plugins</t>
  </si>
  <si>
    <t xml:space="preserve">B2B domain plugins + office docs + html-report renderer</t>
  </si>
  <si>
    <t xml:space="preserve">trevor-nichols/agentrules-architect</t>
  </si>
  <si>
    <t xml:space="preserve">AGENTS.md / CLAUDE.md generator + ExecPlan harness</t>
  </si>
  <si>
    <t xml:space="preserve">Generate project rules files</t>
  </si>
  <si>
    <t xml:space="preserve">cc-discipline</t>
  </si>
  <si>
    <t xml:space="preserve">Project &amp; Task</t>
  </si>
  <si>
    <t xml:space="preserve">Kohei-Wada/taskdog</t>
  </si>
  <si>
    <t xml:space="preserve">Terminal task manager, keyboard-only, no dragging/micromanagement, schedule optimization</t>
  </si>
  <si>
    <t xml:space="preserve">ADHD-shaped task capture</t>
  </si>
  <si>
    <t xml:space="preserve">project, adhd</t>
  </si>
  <si>
    <t xml:space="preserve">cyanheads/atlas-mcp-server</t>
  </si>
  <si>
    <t xml:space="preserve">Neo4j task mgmt — Projects/Tasks/Knowledge tiers</t>
  </si>
  <si>
    <t xml:space="preserve">project</t>
  </si>
  <si>
    <t xml:space="preserve">vivy-company/aizen</t>
  </si>
  <si>
    <t xml:space="preserve">Bring order to projects, environments, day-to-day work</t>
  </si>
  <si>
    <t xml:space="preserve">Zaloog/kanban-tui</t>
  </si>
  <si>
    <t xml:space="preserve">TUI kanban, agent-usable</t>
  </si>
  <si>
    <t xml:space="preserve">Ops &amp; Automation</t>
  </si>
  <si>
    <t xml:space="preserve">Higangssh/homebutler</t>
  </si>
  <si>
    <t xml:space="preserve">Manage your homelab from chat — single binary, zero deps</t>
  </si>
  <si>
    <t xml:space="preserve">Chat control of your home network</t>
  </si>
  <si>
    <t xml:space="preserve">papadopouloskyriakos/agentic-chatops</t>
  </si>
  <si>
    <t xml:space="preserve">3-tier agentic infra triage; 'solo operator managing 137 devices'</t>
  </si>
  <si>
    <t xml:space="preserve">Solo-operator + home-lab automation</t>
  </si>
  <si>
    <t xml:space="preserve">ops, home-lab</t>
  </si>
  <si>
    <t xml:space="preserve">1mancompany/OneManCompany</t>
  </si>
  <si>
    <t xml:space="preserve">Agent OS for one-man companies</t>
  </si>
  <si>
    <t xml:space="preserve">Solo-consultant framing</t>
  </si>
  <si>
    <t xml:space="preserve">ops</t>
  </si>
  <si>
    <t xml:space="preserve">node9-ai/node9-proxy</t>
  </si>
  <si>
    <t xml:space="preserve">Security layer between agent &amp; tools — discover/protect/audit</t>
  </si>
  <si>
    <t xml:space="preserve">Governance for autonomous agents</t>
  </si>
  <si>
    <t xml:space="preserve">governance</t>
  </si>
  <si>
    <t xml:space="preserve">angristan/netclode</t>
  </si>
  <si>
    <t xml:space="preserve">Self-hosted CC from phone — k3s + microVM + Tailscale + iOS app</t>
  </si>
  <si>
    <t xml:space="preserve">Remote-access endgame (you're mid-Tailscale setup)</t>
  </si>
  <si>
    <t xml:space="preserve">Decisions &amp; Review</t>
  </si>
  <si>
    <t xml:space="preserve">0xNyk/council-of-high-intelligence</t>
  </si>
  <si>
    <t xml:space="preserve">18 AI personas (Feynman, Kahneman, Torvalds...) deliberate hard decisions</t>
  </si>
  <si>
    <t xml:space="preserve">Octopus for strategic decisions, not just code</t>
  </si>
  <si>
    <t xml:space="preserve">decisions, pyris</t>
  </si>
  <si>
    <t xml:space="preserve">m0n0x41d/haft</t>
  </si>
  <si>
    <t xml:space="preserve">Engineering-decisions engine with evidence decay (knows when stale)</t>
  </si>
  <si>
    <t xml:space="preserve">Decision log with staleness tracking</t>
  </si>
  <si>
    <t xml:space="preserve">decisions</t>
  </si>
  <si>
    <t xml:space="preserve">umputun/revdiff</t>
  </si>
  <si>
    <t xml:space="preserve">TUI for reviewing diffs/files/docs with inline annotations</t>
  </si>
  <si>
    <t xml:space="preserve">review</t>
  </si>
  <si>
    <t xml:space="preserve">AnttiHero/lavern</t>
  </si>
  <si>
    <t xml:space="preserve">67-agent 'law firm' — evidence-backed debate, human gates, 10-pass verify</t>
  </si>
  <si>
    <t xml:space="preserve">Doc-review aid (NOT legal advice) for ICAs/contracts</t>
  </si>
  <si>
    <t xml:space="preserve">docreview, ccf</t>
  </si>
  <si>
    <t xml:space="preserve">Content (Podcast/Video/Music)</t>
  </si>
  <si>
    <t xml:space="preserve">zarazhangrui/personalized-podcast</t>
  </si>
  <si>
    <t xml:space="preserve">NotebookLM-style AI podcasts you fully control; publish to Apple/Spotify</t>
  </si>
  <si>
    <t xml:space="preserve">Your Bills podcast studio project</t>
  </si>
  <si>
    <t xml:space="preserve">podcast</t>
  </si>
  <si>
    <t xml:space="preserve">AgriciDaniel/claude-shorts</t>
  </si>
  <si>
    <t xml:space="preserve">Longform → shortform video (Remotion, AI segment scoring, captions)</t>
  </si>
  <si>
    <t xml:space="preserve">Podcast → social clips for Pyris/CCF profiles</t>
  </si>
  <si>
    <t xml:space="preserve">podcast, ccf</t>
  </si>
  <si>
    <t xml:space="preserve">bitwize-music-studio/claude-ai-music-skills</t>
  </si>
  <si>
    <t xml:space="preserve">Human + AI music production for Suno</t>
  </si>
  <si>
    <t xml:space="preserve">Podcast audio beds</t>
  </si>
  <si>
    <t xml:space="preserve">jhartquist/claude-remotion-kickstart</t>
  </si>
  <si>
    <t xml:space="preserve">Create videos programmatically with CC + Remotion</t>
  </si>
  <si>
    <t xml:space="preserve">content</t>
  </si>
  <si>
    <t xml:space="preserve">Analytics &amp; Growth</t>
  </si>
  <si>
    <t xml:space="preserve">liangdabiao/claude-data-analysis-ultra</t>
  </si>
  <si>
    <t xml:space="preserve">Data-analysis skills: retention, activation, conversion, cohort, A/B</t>
  </si>
  <si>
    <t xml:space="preserve">Pyris client analytics — billable-hours multiplier</t>
  </si>
  <si>
    <t xml:space="preserve">pyris</t>
  </si>
  <si>
    <t xml:space="preserve">SkeneTechnologies/skene</t>
  </si>
  <si>
    <t xml:space="preserve">Product-Led Growth toolkit: user journeys, lifecycle stages, growth loops</t>
  </si>
  <si>
    <t xml:space="preserve">Pyris ops / growth-systems work — your exact lane</t>
  </si>
  <si>
    <t xml:space="preserve">Meta / Coworker</t>
  </si>
  <si>
    <t xml:space="preserve">rowboatlabs/rowboat</t>
  </si>
  <si>
    <t xml:space="preserve">AI coworker — turns email + notes into a living knowledge graph and acts on it, local</t>
  </si>
  <si>
    <t xml:space="preserve">Client comms → actionable graph (verify privacy before client data)</t>
  </si>
  <si>
    <t xml:space="preserve">meta, pyris</t>
  </si>
  <si>
    <t xml:space="preserve">Observability</t>
  </si>
  <si>
    <t xml:space="preserve">steipete/CodexBar</t>
  </si>
  <si>
    <t xml:space="preserve">Menu-bar usage stats for Codex &amp; Claude Code</t>
  </si>
  <si>
    <t xml:space="preserve">observability</t>
  </si>
  <si>
    <t xml:space="preserve">getagentseal/codeburn</t>
  </si>
  <si>
    <t xml:space="preserve">TUI cost observability across 25 AI coding tools</t>
  </si>
  <si>
    <t xml:space="preserve">junhoyeo/tokscale</t>
  </si>
  <si>
    <t xml:space="preserve">Token usage tracker + 2D/3D contribution graph</t>
  </si>
  <si>
    <t xml:space="preserve">graykode/abtop</t>
  </si>
  <si>
    <t xml:space="preserve">htop for AI coding agents</t>
  </si>
  <si>
    <t xml:space="preserve">See all sessions at a glance</t>
  </si>
  <si>
    <t xml:space="preserve">illegalstudio/lazyagent</t>
  </si>
  <si>
    <t xml:space="preserve">Monitor all your coding agents from one terminal</t>
  </si>
  <si>
    <t xml:space="preserve">aqua5230/usage</t>
  </si>
  <si>
    <t xml:space="preserve">macOS menu-bar quota/token/cost, local-only</t>
  </si>
  <si>
    <t xml:space="preserve">ldegio/agtop</t>
  </si>
  <si>
    <t xml:space="preserve">top-style TUI for agent sessions</t>
  </si>
  <si>
    <t xml:space="preserve">subinium/agf</t>
  </si>
  <si>
    <t xml:space="preserve">Session finder — find/resume sessions across all tools</t>
  </si>
  <si>
    <t xml:space="preserve">CC Discipline &amp; Harness</t>
  </si>
  <si>
    <t xml:space="preserve">nidhinjs/prompt-master</t>
  </si>
  <si>
    <t xml:space="preserve">Skill that writes accurate prompts with context retention</t>
  </si>
  <si>
    <t xml:space="preserve">prompting</t>
  </si>
  <si>
    <t xml:space="preserve">trailofbits/claude-code-config</t>
  </si>
  <si>
    <t xml:space="preserve">Security-grade CC defaults (sandboxing, hooks, perms)</t>
  </si>
  <si>
    <t xml:space="preserve">maxritter/pilot-shell</t>
  </si>
  <si>
    <t xml:space="preserve">Spec-driven plans, enforced TDD, persistent memory</t>
  </si>
  <si>
    <t xml:space="preserve">feiskyer/claude-code-settings</t>
  </si>
  <si>
    <t xml:space="preserve">CC settings/skills/subagents for spec-driven dev</t>
  </si>
  <si>
    <t xml:space="preserve">athola/claude-night-market</t>
  </si>
  <si>
    <t xml:space="preserve">23 plugins: TDD / git / spec-driven / review / lifecycle</t>
  </si>
  <si>
    <t xml:space="preserve">opensesh/KARIMO</t>
  </si>
  <si>
    <t xml:space="preserve">Markdown</t>
  </si>
  <si>
    <t xml:space="preserve">Plan-mode-on-steroids, product-design-driven orchestration</t>
  </si>
  <si>
    <t xml:space="preserve">VAMFI/claude-user-memory</t>
  </si>
  <si>
    <t xml:space="preserve">Research→Plan→Implement substrate w/ quality gates + TDD</t>
  </si>
  <si>
    <t xml:space="preserve">juanandresgs/claude-ctrl</t>
  </si>
  <si>
    <t xml:space="preserve">'The systems thinker's deterministic CC control plane'</t>
  </si>
  <si>
    <t xml:space="preserve">Your exact framing</t>
  </si>
  <si>
    <t xml:space="preserve">infinri/Writ</t>
  </si>
  <si>
    <t xml:space="preserve">CC harness: hybrid-RAG rule librarian + process keeper (blocks risky writes)</t>
  </si>
  <si>
    <t xml:space="preserve">Substrate / Memory (apparatus)</t>
  </si>
  <si>
    <t xml:space="preserve">orneryd/NornicDB</t>
  </si>
  <si>
    <t xml:space="preserve">Graph + Vector + Temporal MVCC; Neo4j Bolt + qdrant gRPC compatible; sub-ms HNSW</t>
  </si>
  <si>
    <t xml:space="preserve">LEAD new substrate candidate — temporal/historical reads, conv-native fit</t>
  </si>
  <si>
    <t xml:space="preserve">apparatus</t>
  </si>
  <si>
    <t xml:space="preserve">NousResearch/hermes-agent</t>
  </si>
  <si>
    <t xml:space="preserve">Self-improving agent: skills from experience, searches own past convos, models you</t>
  </si>
  <si>
    <t xml:space="preserve">Apparatus thesis in someone else's code — read for ideas</t>
  </si>
  <si>
    <t xml:space="preserve">zhayujie/CowAgent</t>
  </si>
  <si>
    <t xml:space="preserve">Super-assistant that grows via long-term memory + knowledge base</t>
  </si>
  <si>
    <t xml:space="preserve">Mechanism reference</t>
  </si>
  <si>
    <t xml:space="preserve">DeusData/codebase-memory-mcp</t>
  </si>
  <si>
    <t xml:space="preserve">C</t>
  </si>
  <si>
    <t xml:space="preserve">Codebase → persistent knowledge graph, sub-ms, single static binary, zero deps</t>
  </si>
  <si>
    <t xml:space="preserve">In your live face-off field; also a great comprehension tool</t>
  </si>
  <si>
    <t xml:space="preserve">apparatus, structure</t>
  </si>
  <si>
    <t xml:space="preserve">neo4j-contrib/mcp-neo4j</t>
  </si>
  <si>
    <t xml:space="preserve">Official Neo4j MCP servers</t>
  </si>
  <si>
    <t xml:space="preserve">Graph backend if going graph-substrate</t>
  </si>
  <si>
    <t xml:space="preserve">Ontos-AI/knowhere</t>
  </si>
  <si>
    <t xml:space="preserve">Dirty docs → structured chunks for RAG</t>
  </si>
  <si>
    <t xml:space="preserve">ggozad/haiku.rag</t>
  </si>
  <si>
    <t xml:space="preserve">Agentic RAG on LanceDB + Pydantic + Docling, multimodal</t>
  </si>
  <si>
    <t xml:space="preserve">syncable-dev/memtrace-public</t>
  </si>
  <si>
    <t xml:space="preserve">Structural memory — bi-temporal graph, MCP-native, ZERO LLM calls</t>
  </si>
  <si>
    <t xml:space="preserve">2nd temporal-graph candidate (code-domain, needs adapter)</t>
  </si>
  <si>
    <t xml:space="preserve">qualixar/superlocalmemory</t>
  </si>
  <si>
    <t xml:space="preserve">Local-only AI memory, zero-LLM mode, LoCoMo-benchmarked</t>
  </si>
  <si>
    <t xml:space="preserve">Function-pass in zero-LLM mode</t>
  </si>
  <si>
    <t xml:space="preserve">fabio-rovai/open-ontologies</t>
  </si>
  <si>
    <t xml:space="preserve">RDF/OWL ontology engine, OWL2-DL reasoner, SPARQL, versioning, single binary</t>
  </si>
  <si>
    <t xml:space="preserve">Formal KG/ontology, versioned</t>
  </si>
  <si>
    <t xml:space="preserve">Anandb71/arbor</t>
  </si>
  <si>
    <t xml:space="preserve">Graph-native code intelligence — deterministic, replaces embedding RAG</t>
  </si>
  <si>
    <t xml:space="preserve">Structural data point (no compression)</t>
  </si>
  <si>
    <t xml:space="preserve">radimsem/remindb</t>
  </si>
  <si>
    <t xml:space="preserve">Agentic memory in one SQLite file, 82-99% token cut</t>
  </si>
  <si>
    <t xml:space="preserve">Compresses (substrate-fail) — noted</t>
  </si>
  <si>
    <t xml:space="preserve">Sandboxing &amp; Security</t>
  </si>
  <si>
    <t xml:space="preserve">eugene1g/agent-safehouse</t>
  </si>
  <si>
    <t xml:space="preserve">Sandbox agents to only the files they need (macOS)</t>
  </si>
  <si>
    <t xml:space="preserve">sandboxing</t>
  </si>
  <si>
    <t xml:space="preserve">ghostwright/ghost-os</t>
  </si>
  <si>
    <t xml:space="preserve">Full computer-use for agents, native macOS, no screenshots</t>
  </si>
  <si>
    <t xml:space="preserve">computer-use</t>
  </si>
  <si>
    <t xml:space="preserve">rivet-dev/sandbox-agent</t>
  </si>
  <si>
    <t xml:space="preserve">Run coding agents in sandboxes, control over HTTP</t>
  </si>
  <si>
    <t xml:space="preserve">Utilities &amp; Misc</t>
  </si>
  <si>
    <t xml:space="preserve">subnetmarco/pgmcp</t>
  </si>
  <si>
    <t xml:space="preserve">Query any Postgres database in natural language via MCP</t>
  </si>
  <si>
    <t xml:space="preserve">Interrogate your Supabase data without SQL</t>
  </si>
  <si>
    <t xml:space="preserve">supabase</t>
  </si>
  <si>
    <t xml:space="preserve">taylorwilsdon/google_workspace_mcp</t>
  </si>
  <si>
    <t xml:space="preserve">Control Gmail/Cal/Docs/Sheets/Drive via natural language</t>
  </si>
  <si>
    <t xml:space="preserve">CCF Workspace ops (redundant w/ your live connectors)</t>
  </si>
  <si>
    <t xml:space="preserve">ccf</t>
  </si>
  <si>
    <t xml:space="preserve">delibae/claude-prism</t>
  </si>
  <si>
    <t xml:space="preserve">Offline-first scientific writing workspace (LaTeX+Python+skills local)</t>
  </si>
  <si>
    <t xml:space="preserve">workspace</t>
  </si>
  <si>
    <t xml:space="preserve">mbailey/voicemode</t>
  </si>
  <si>
    <t xml:space="preserve">Natural voice conversations with Claude Code</t>
  </si>
  <si>
    <t xml:space="preserve">Talk instead of type (ADHD)</t>
  </si>
  <si>
    <t xml:space="preserve">adhd</t>
  </si>
  <si>
    <t xml:space="preserve">bgauryy/open-docs</t>
  </si>
  <si>
    <t xml:space="preserve">'The missing manual for AI CLI tools' — architecture internals</t>
  </si>
  <si>
    <t xml:space="preserve">reference</t>
  </si>
  <si>
    <t xml:space="preserve">HarimxChoi/google-surf-mcp</t>
  </si>
  <si>
    <t xml:space="preserve">Search + fetch + academic-paper extract in one MCP</t>
  </si>
  <si>
    <t xml:space="preserve">search</t>
  </si>
  <si>
    <t xml:space="preserve">daypunk/LockedIn</t>
  </si>
  <si>
    <t xml:space="preserve">Captures CC work as structured experience → resumes/cover letters</t>
  </si>
  <si>
    <t xml:space="preserve">career</t>
  </si>
  <si>
    <t xml:space="preserve">hjtenklooster/claude-file-recovery</t>
  </si>
  <si>
    <t xml:space="preserve">Recover files Claude Code created/modified from JSONL transcripts</t>
  </si>
  <si>
    <t xml:space="preserve">Safety net for lost work</t>
  </si>
  <si>
    <t xml:space="preserve">utility</t>
  </si>
  <si>
    <t xml:space="preserve">GEMs</t>
  </si>
  <si>
    <t xml:space="preserve">Notables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</si>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</sst>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111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2C2C2C"/>
        <bgColor rgb="FF333300"/>
      </patternFill>
    </fill>
    <fill>
      <patternFill patternType="solid">
        <fgColor rgb="FFFCEBD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11111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FCEB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D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0392B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true" outlineLevel="0" max="4" min="4" style="0" width="1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50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8.75" hidden="false" customHeight="true" outlineLevel="0" collapsed="false">
      <c r="A2" s="3" t="s">
        <v>8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9</v>
      </c>
      <c r="B3" s="5" t="s">
        <v>10</v>
      </c>
      <c r="C3" s="6" t="n">
        <v>54738</v>
      </c>
      <c r="D3" s="5" t="s">
        <v>8</v>
      </c>
      <c r="E3" s="5" t="s">
        <v>11</v>
      </c>
      <c r="F3" s="7" t="s">
        <v>12</v>
      </c>
      <c r="G3" s="7" t="s">
        <v>13</v>
      </c>
      <c r="H3" s="5" t="s">
        <v>14</v>
      </c>
    </row>
    <row r="4" customFormat="false" ht="30" hidden="false" customHeight="true" outlineLevel="0" collapsed="false">
      <c r="A4" s="4" t="s">
        <v>9</v>
      </c>
      <c r="B4" s="5" t="s">
        <v>15</v>
      </c>
      <c r="C4" s="6" t="n">
        <v>38543</v>
      </c>
      <c r="D4" s="5" t="s">
        <v>8</v>
      </c>
      <c r="E4" s="5" t="s">
        <v>16</v>
      </c>
      <c r="F4" s="7" t="s">
        <v>17</v>
      </c>
      <c r="G4" s="7" t="s">
        <v>18</v>
      </c>
      <c r="H4" s="5" t="s">
        <v>19</v>
      </c>
    </row>
    <row r="5" customFormat="false" ht="30" hidden="false" customHeight="true" outlineLevel="0" collapsed="false">
      <c r="A5" s="4" t="s">
        <v>9</v>
      </c>
      <c r="B5" s="5" t="s">
        <v>20</v>
      </c>
      <c r="C5" s="6" t="n">
        <v>1254</v>
      </c>
      <c r="D5" s="5" t="s">
        <v>8</v>
      </c>
      <c r="E5" s="5" t="s">
        <v>16</v>
      </c>
      <c r="F5" s="7" t="s">
        <v>21</v>
      </c>
      <c r="G5" s="7" t="s">
        <v>22</v>
      </c>
      <c r="H5" s="5" t="s">
        <v>19</v>
      </c>
    </row>
    <row r="6" customFormat="false" ht="30" hidden="false" customHeight="true" outlineLevel="0" collapsed="false">
      <c r="A6" s="4" t="s">
        <v>9</v>
      </c>
      <c r="B6" s="5" t="s">
        <v>23</v>
      </c>
      <c r="C6" s="6" t="n">
        <v>320</v>
      </c>
      <c r="D6" s="5" t="s">
        <v>8</v>
      </c>
      <c r="E6" s="5" t="s">
        <v>16</v>
      </c>
      <c r="F6" s="7" t="s">
        <v>24</v>
      </c>
      <c r="G6" s="7" t="s">
        <v>25</v>
      </c>
      <c r="H6" s="5" t="s">
        <v>19</v>
      </c>
    </row>
    <row r="7" customFormat="false" ht="30" hidden="false" customHeight="true" outlineLevel="0" collapsed="false">
      <c r="A7" s="4" t="s">
        <v>9</v>
      </c>
      <c r="B7" s="5" t="s">
        <v>26</v>
      </c>
      <c r="C7" s="6" t="n">
        <v>236</v>
      </c>
      <c r="D7" s="5" t="s">
        <v>8</v>
      </c>
      <c r="E7" s="5" t="s">
        <v>27</v>
      </c>
      <c r="F7" s="7" t="s">
        <v>28</v>
      </c>
      <c r="G7" s="7" t="s">
        <v>29</v>
      </c>
      <c r="H7" s="5" t="s">
        <v>19</v>
      </c>
    </row>
    <row r="8" customFormat="false" ht="30" hidden="false" customHeight="true" outlineLevel="0" collapsed="false">
      <c r="A8" s="8" t="s">
        <v>30</v>
      </c>
      <c r="B8" s="8" t="s">
        <v>31</v>
      </c>
      <c r="C8" s="9" t="n">
        <v>1277</v>
      </c>
      <c r="D8" s="8" t="s">
        <v>8</v>
      </c>
      <c r="E8" s="8" t="s">
        <v>11</v>
      </c>
      <c r="F8" s="10" t="s">
        <v>32</v>
      </c>
      <c r="G8" s="10"/>
      <c r="H8" s="8" t="s">
        <v>19</v>
      </c>
    </row>
    <row r="9" customFormat="false" ht="30" hidden="false" customHeight="true" outlineLevel="0" collapsed="false">
      <c r="A9" s="8" t="s">
        <v>30</v>
      </c>
      <c r="B9" s="8" t="s">
        <v>33</v>
      </c>
      <c r="C9" s="9" t="n">
        <v>773</v>
      </c>
      <c r="D9" s="8" t="s">
        <v>8</v>
      </c>
      <c r="E9" s="8" t="s">
        <v>34</v>
      </c>
      <c r="F9" s="10" t="s">
        <v>35</v>
      </c>
      <c r="G9" s="10"/>
      <c r="H9" s="8" t="s">
        <v>19</v>
      </c>
    </row>
    <row r="10" customFormat="false" ht="30" hidden="false" customHeight="true" outlineLevel="0" collapsed="false">
      <c r="A10" s="8" t="s">
        <v>30</v>
      </c>
      <c r="B10" s="8" t="s">
        <v>36</v>
      </c>
      <c r="C10" s="9" t="n">
        <v>714</v>
      </c>
      <c r="D10" s="8" t="s">
        <v>8</v>
      </c>
      <c r="E10" s="8" t="s">
        <v>16</v>
      </c>
      <c r="F10" s="10" t="s">
        <v>37</v>
      </c>
      <c r="G10" s="10"/>
      <c r="H10" s="8" t="s">
        <v>19</v>
      </c>
    </row>
    <row r="11" customFormat="false" ht="30" hidden="false" customHeight="true" outlineLevel="0" collapsed="false">
      <c r="A11" s="8" t="s">
        <v>30</v>
      </c>
      <c r="B11" s="8" t="s">
        <v>38</v>
      </c>
      <c r="C11" s="9" t="n">
        <v>706</v>
      </c>
      <c r="D11" s="8" t="s">
        <v>8</v>
      </c>
      <c r="E11" s="8" t="s">
        <v>11</v>
      </c>
      <c r="F11" s="10" t="s">
        <v>39</v>
      </c>
      <c r="G11" s="10"/>
      <c r="H11" s="8" t="s">
        <v>19</v>
      </c>
    </row>
    <row r="12" customFormat="false" ht="30" hidden="false" customHeight="true" outlineLevel="0" collapsed="false">
      <c r="A12" s="8" t="s">
        <v>30</v>
      </c>
      <c r="B12" s="8" t="s">
        <v>40</v>
      </c>
      <c r="C12" s="9" t="n">
        <v>249</v>
      </c>
      <c r="D12" s="8" t="s">
        <v>8</v>
      </c>
      <c r="E12" s="8" t="s">
        <v>34</v>
      </c>
      <c r="F12" s="10" t="s">
        <v>41</v>
      </c>
      <c r="G12" s="10" t="s">
        <v>42</v>
      </c>
      <c r="H12" s="8" t="s">
        <v>19</v>
      </c>
    </row>
    <row r="13" customFormat="false" ht="30" hidden="false" customHeight="true" outlineLevel="0" collapsed="false">
      <c r="A13" s="8" t="s">
        <v>30</v>
      </c>
      <c r="B13" s="8" t="s">
        <v>43</v>
      </c>
      <c r="C13" s="9" t="n">
        <v>212</v>
      </c>
      <c r="D13" s="8" t="s">
        <v>8</v>
      </c>
      <c r="E13" s="8" t="s">
        <v>11</v>
      </c>
      <c r="F13" s="10" t="s">
        <v>44</v>
      </c>
      <c r="G13" s="10" t="s">
        <v>45</v>
      </c>
      <c r="H13" s="8" t="s">
        <v>19</v>
      </c>
    </row>
    <row r="14" customFormat="false" ht="30" hidden="false" customHeight="true" outlineLevel="0" collapsed="false">
      <c r="A14" s="8" t="s">
        <v>30</v>
      </c>
      <c r="B14" s="8" t="s">
        <v>46</v>
      </c>
      <c r="C14" s="9" t="n">
        <v>146</v>
      </c>
      <c r="D14" s="8" t="s">
        <v>8</v>
      </c>
      <c r="E14" s="8" t="s">
        <v>47</v>
      </c>
      <c r="F14" s="10" t="s">
        <v>48</v>
      </c>
      <c r="G14" s="10"/>
      <c r="H14" s="8" t="s">
        <v>19</v>
      </c>
    </row>
    <row r="15" customFormat="false" ht="30" hidden="false" customHeight="true" outlineLevel="0" collapsed="false">
      <c r="A15" s="8" t="s">
        <v>30</v>
      </c>
      <c r="B15" s="8" t="s">
        <v>49</v>
      </c>
      <c r="C15" s="9" t="n">
        <v>119</v>
      </c>
      <c r="D15" s="8" t="s">
        <v>8</v>
      </c>
      <c r="E15" s="8" t="s">
        <v>47</v>
      </c>
      <c r="F15" s="10" t="s">
        <v>50</v>
      </c>
      <c r="G15" s="10"/>
      <c r="H15" s="8" t="s">
        <v>19</v>
      </c>
    </row>
    <row r="16" customFormat="false" ht="30" hidden="false" customHeight="true" outlineLevel="0" collapsed="false">
      <c r="A16" s="8" t="s">
        <v>30</v>
      </c>
      <c r="B16" s="8" t="s">
        <v>51</v>
      </c>
      <c r="C16" s="9" t="n">
        <v>114</v>
      </c>
      <c r="D16" s="8" t="s">
        <v>8</v>
      </c>
      <c r="E16" s="8" t="s">
        <v>47</v>
      </c>
      <c r="F16" s="10" t="s">
        <v>52</v>
      </c>
      <c r="G16" s="10"/>
      <c r="H16" s="8" t="s">
        <v>19</v>
      </c>
    </row>
    <row r="17" customFormat="false" ht="30" hidden="false" customHeight="true" outlineLevel="0" collapsed="false">
      <c r="A17" s="8" t="s">
        <v>30</v>
      </c>
      <c r="B17" s="8" t="s">
        <v>53</v>
      </c>
      <c r="C17" s="9" t="n">
        <v>108</v>
      </c>
      <c r="D17" s="8" t="s">
        <v>8</v>
      </c>
      <c r="E17" s="8" t="s">
        <v>11</v>
      </c>
      <c r="F17" s="10" t="s">
        <v>54</v>
      </c>
      <c r="G17" s="10"/>
      <c r="H17" s="8" t="s">
        <v>19</v>
      </c>
    </row>
    <row r="18" customFormat="false" ht="18.75" hidden="false" customHeight="true" outlineLevel="0" collapsed="false">
      <c r="A18" s="3" t="s">
        <v>55</v>
      </c>
      <c r="B18" s="3"/>
      <c r="C18" s="3"/>
      <c r="D18" s="3"/>
      <c r="E18" s="3"/>
      <c r="F18" s="3"/>
      <c r="G18" s="3"/>
      <c r="H18" s="3"/>
    </row>
    <row r="19" customFormat="false" ht="30" hidden="false" customHeight="true" outlineLevel="0" collapsed="false">
      <c r="A19" s="4" t="s">
        <v>9</v>
      </c>
      <c r="B19" s="5" t="s">
        <v>56</v>
      </c>
      <c r="C19" s="6" t="n">
        <v>3423</v>
      </c>
      <c r="D19" s="5" t="s">
        <v>55</v>
      </c>
      <c r="E19" s="5" t="s">
        <v>57</v>
      </c>
      <c r="F19" s="7" t="s">
        <v>58</v>
      </c>
      <c r="G19" s="7" t="s">
        <v>59</v>
      </c>
      <c r="H19" s="5" t="s">
        <v>60</v>
      </c>
    </row>
    <row r="20" customFormat="false" ht="30" hidden="false" customHeight="true" outlineLevel="0" collapsed="false">
      <c r="A20" s="4" t="s">
        <v>9</v>
      </c>
      <c r="B20" s="5" t="s">
        <v>61</v>
      </c>
      <c r="C20" s="6" t="n">
        <v>2540</v>
      </c>
      <c r="D20" s="5" t="s">
        <v>55</v>
      </c>
      <c r="E20" s="5" t="s">
        <v>47</v>
      </c>
      <c r="F20" s="7" t="s">
        <v>62</v>
      </c>
      <c r="G20" s="7" t="s">
        <v>63</v>
      </c>
      <c r="H20" s="5" t="s">
        <v>64</v>
      </c>
    </row>
    <row r="21" customFormat="false" ht="30" hidden="false" customHeight="true" outlineLevel="0" collapsed="false">
      <c r="A21" s="4" t="s">
        <v>9</v>
      </c>
      <c r="B21" s="5" t="s">
        <v>65</v>
      </c>
      <c r="C21" s="6" t="n">
        <v>2510</v>
      </c>
      <c r="D21" s="5" t="s">
        <v>55</v>
      </c>
      <c r="E21" s="5" t="s">
        <v>16</v>
      </c>
      <c r="F21" s="7" t="s">
        <v>66</v>
      </c>
      <c r="G21" s="7" t="s">
        <v>67</v>
      </c>
      <c r="H21" s="5" t="s">
        <v>64</v>
      </c>
    </row>
    <row r="22" customFormat="false" ht="30" hidden="false" customHeight="true" outlineLevel="0" collapsed="false">
      <c r="A22" s="4" t="s">
        <v>9</v>
      </c>
      <c r="B22" s="5" t="s">
        <v>68</v>
      </c>
      <c r="C22" s="6" t="n">
        <v>940</v>
      </c>
      <c r="D22" s="5" t="s">
        <v>55</v>
      </c>
      <c r="E22" s="5" t="s">
        <v>16</v>
      </c>
      <c r="F22" s="7" t="s">
        <v>69</v>
      </c>
      <c r="G22" s="7" t="s">
        <v>70</v>
      </c>
      <c r="H22" s="5" t="s">
        <v>60</v>
      </c>
    </row>
    <row r="23" customFormat="false" ht="30" hidden="false" customHeight="true" outlineLevel="0" collapsed="false">
      <c r="A23" s="4" t="s">
        <v>9</v>
      </c>
      <c r="B23" s="5" t="s">
        <v>71</v>
      </c>
      <c r="C23" s="6" t="n">
        <v>853</v>
      </c>
      <c r="D23" s="5" t="s">
        <v>55</v>
      </c>
      <c r="E23" s="5" t="s">
        <v>16</v>
      </c>
      <c r="F23" s="7" t="s">
        <v>72</v>
      </c>
      <c r="G23" s="7" t="s">
        <v>73</v>
      </c>
      <c r="H23" s="5" t="s">
        <v>64</v>
      </c>
    </row>
    <row r="24" customFormat="false" ht="30" hidden="false" customHeight="true" outlineLevel="0" collapsed="false">
      <c r="A24" s="4" t="s">
        <v>9</v>
      </c>
      <c r="B24" s="5" t="s">
        <v>74</v>
      </c>
      <c r="C24" s="6" t="n">
        <v>287</v>
      </c>
      <c r="D24" s="5" t="s">
        <v>55</v>
      </c>
      <c r="E24" s="5" t="s">
        <v>47</v>
      </c>
      <c r="F24" s="7" t="s">
        <v>75</v>
      </c>
      <c r="G24" s="7" t="s">
        <v>76</v>
      </c>
      <c r="H24" s="5" t="s">
        <v>64</v>
      </c>
    </row>
    <row r="25" customFormat="false" ht="30" hidden="false" customHeight="true" outlineLevel="0" collapsed="false">
      <c r="A25" s="4" t="s">
        <v>9</v>
      </c>
      <c r="B25" s="5" t="s">
        <v>77</v>
      </c>
      <c r="C25" s="6" t="n">
        <v>128</v>
      </c>
      <c r="D25" s="5" t="s">
        <v>55</v>
      </c>
      <c r="E25" s="5" t="s">
        <v>16</v>
      </c>
      <c r="F25" s="7" t="s">
        <v>78</v>
      </c>
      <c r="G25" s="7" t="s">
        <v>79</v>
      </c>
      <c r="H25" s="5" t="s">
        <v>60</v>
      </c>
    </row>
    <row r="26" customFormat="false" ht="30" hidden="false" customHeight="true" outlineLevel="0" collapsed="false">
      <c r="A26" s="8" t="s">
        <v>30</v>
      </c>
      <c r="B26" s="8" t="s">
        <v>80</v>
      </c>
      <c r="C26" s="9" t="n">
        <v>11347</v>
      </c>
      <c r="D26" s="8" t="s">
        <v>55</v>
      </c>
      <c r="E26" s="8" t="s">
        <v>16</v>
      </c>
      <c r="F26" s="10" t="s">
        <v>81</v>
      </c>
      <c r="G26" s="10"/>
      <c r="H26" s="8" t="s">
        <v>60</v>
      </c>
    </row>
    <row r="27" customFormat="false" ht="30" hidden="false" customHeight="true" outlineLevel="0" collapsed="false">
      <c r="A27" s="8" t="s">
        <v>30</v>
      </c>
      <c r="B27" s="8" t="s">
        <v>82</v>
      </c>
      <c r="C27" s="9" t="n">
        <v>2594</v>
      </c>
      <c r="D27" s="8" t="s">
        <v>55</v>
      </c>
      <c r="E27" s="8" t="s">
        <v>34</v>
      </c>
      <c r="F27" s="10" t="s">
        <v>83</v>
      </c>
      <c r="G27" s="10"/>
      <c r="H27" s="8" t="s">
        <v>60</v>
      </c>
    </row>
    <row r="28" customFormat="false" ht="30" hidden="false" customHeight="true" outlineLevel="0" collapsed="false">
      <c r="A28" s="8" t="s">
        <v>30</v>
      </c>
      <c r="B28" s="8" t="s">
        <v>84</v>
      </c>
      <c r="C28" s="9" t="n">
        <v>2429</v>
      </c>
      <c r="D28" s="8" t="s">
        <v>55</v>
      </c>
      <c r="E28" s="8" t="s">
        <v>34</v>
      </c>
      <c r="F28" s="10" t="s">
        <v>85</v>
      </c>
      <c r="G28" s="10" t="s">
        <v>86</v>
      </c>
      <c r="H28" s="8" t="s">
        <v>60</v>
      </c>
    </row>
    <row r="29" customFormat="false" ht="30" hidden="false" customHeight="true" outlineLevel="0" collapsed="false">
      <c r="A29" s="8" t="s">
        <v>30</v>
      </c>
      <c r="B29" s="8" t="s">
        <v>87</v>
      </c>
      <c r="C29" s="9" t="n">
        <v>1057</v>
      </c>
      <c r="D29" s="8" t="s">
        <v>55</v>
      </c>
      <c r="E29" s="8" t="s">
        <v>16</v>
      </c>
      <c r="F29" s="10" t="s">
        <v>88</v>
      </c>
      <c r="G29" s="10"/>
      <c r="H29" s="8" t="s">
        <v>60</v>
      </c>
    </row>
    <row r="30" customFormat="false" ht="30" hidden="false" customHeight="true" outlineLevel="0" collapsed="false">
      <c r="A30" s="8" t="s">
        <v>30</v>
      </c>
      <c r="B30" s="8" t="s">
        <v>89</v>
      </c>
      <c r="C30" s="9" t="n">
        <v>1018</v>
      </c>
      <c r="D30" s="8" t="s">
        <v>55</v>
      </c>
      <c r="E30" s="8" t="s">
        <v>47</v>
      </c>
      <c r="F30" s="10" t="s">
        <v>90</v>
      </c>
      <c r="G30" s="10" t="s">
        <v>91</v>
      </c>
      <c r="H30" s="8" t="s">
        <v>60</v>
      </c>
    </row>
    <row r="31" customFormat="false" ht="30" hidden="false" customHeight="true" outlineLevel="0" collapsed="false">
      <c r="A31" s="8" t="s">
        <v>30</v>
      </c>
      <c r="B31" s="8" t="s">
        <v>92</v>
      </c>
      <c r="C31" s="9" t="n">
        <v>694</v>
      </c>
      <c r="D31" s="8" t="s">
        <v>55</v>
      </c>
      <c r="E31" s="8" t="s">
        <v>16</v>
      </c>
      <c r="F31" s="10" t="s">
        <v>93</v>
      </c>
      <c r="G31" s="10"/>
      <c r="H31" s="8" t="s">
        <v>60</v>
      </c>
    </row>
    <row r="32" customFormat="false" ht="30" hidden="false" customHeight="true" outlineLevel="0" collapsed="false">
      <c r="A32" s="8" t="s">
        <v>30</v>
      </c>
      <c r="B32" s="8" t="s">
        <v>94</v>
      </c>
      <c r="C32" s="9" t="n">
        <v>669</v>
      </c>
      <c r="D32" s="8" t="s">
        <v>55</v>
      </c>
      <c r="E32" s="8" t="s">
        <v>95</v>
      </c>
      <c r="F32" s="10" t="s">
        <v>96</v>
      </c>
      <c r="G32" s="10"/>
      <c r="H32" s="8" t="s">
        <v>60</v>
      </c>
    </row>
    <row r="33" customFormat="false" ht="30" hidden="false" customHeight="true" outlineLevel="0" collapsed="false">
      <c r="A33" s="8" t="s">
        <v>30</v>
      </c>
      <c r="B33" s="8" t="s">
        <v>97</v>
      </c>
      <c r="C33" s="9" t="n">
        <v>462</v>
      </c>
      <c r="D33" s="8" t="s">
        <v>55</v>
      </c>
      <c r="E33" s="8" t="s">
        <v>47</v>
      </c>
      <c r="F33" s="10" t="s">
        <v>98</v>
      </c>
      <c r="G33" s="10"/>
      <c r="H33" s="8" t="s">
        <v>60</v>
      </c>
    </row>
    <row r="34" customFormat="false" ht="30" hidden="false" customHeight="true" outlineLevel="0" collapsed="false">
      <c r="A34" s="8" t="s">
        <v>30</v>
      </c>
      <c r="B34" s="8" t="s">
        <v>99</v>
      </c>
      <c r="C34" s="9" t="n">
        <v>410</v>
      </c>
      <c r="D34" s="8" t="s">
        <v>55</v>
      </c>
      <c r="E34" s="8" t="s">
        <v>16</v>
      </c>
      <c r="F34" s="10" t="s">
        <v>100</v>
      </c>
      <c r="G34" s="10"/>
      <c r="H34" s="8" t="s">
        <v>60</v>
      </c>
    </row>
    <row r="35" customFormat="false" ht="30" hidden="false" customHeight="true" outlineLevel="0" collapsed="false">
      <c r="A35" s="8" t="s">
        <v>30</v>
      </c>
      <c r="B35" s="8" t="s">
        <v>101</v>
      </c>
      <c r="C35" s="9" t="n">
        <v>336</v>
      </c>
      <c r="D35" s="8" t="s">
        <v>55</v>
      </c>
      <c r="E35" s="8" t="s">
        <v>16</v>
      </c>
      <c r="F35" s="10" t="s">
        <v>102</v>
      </c>
      <c r="G35" s="10"/>
      <c r="H35" s="8" t="s">
        <v>60</v>
      </c>
    </row>
    <row r="36" customFormat="false" ht="30" hidden="false" customHeight="true" outlineLevel="0" collapsed="false">
      <c r="A36" s="8" t="s">
        <v>30</v>
      </c>
      <c r="B36" s="8" t="s">
        <v>103</v>
      </c>
      <c r="C36" s="9" t="n">
        <v>331</v>
      </c>
      <c r="D36" s="8" t="s">
        <v>55</v>
      </c>
      <c r="E36" s="8" t="s">
        <v>47</v>
      </c>
      <c r="F36" s="10" t="s">
        <v>104</v>
      </c>
      <c r="G36" s="10"/>
      <c r="H36" s="8" t="s">
        <v>60</v>
      </c>
    </row>
    <row r="37" customFormat="false" ht="30" hidden="false" customHeight="true" outlineLevel="0" collapsed="false">
      <c r="A37" s="8" t="s">
        <v>30</v>
      </c>
      <c r="B37" s="8" t="s">
        <v>105</v>
      </c>
      <c r="C37" s="9" t="n">
        <v>301</v>
      </c>
      <c r="D37" s="8" t="s">
        <v>55</v>
      </c>
      <c r="E37" s="8" t="s">
        <v>34</v>
      </c>
      <c r="F37" s="10" t="s">
        <v>106</v>
      </c>
      <c r="G37" s="10"/>
      <c r="H37" s="8" t="s">
        <v>60</v>
      </c>
    </row>
    <row r="38" customFormat="false" ht="30" hidden="false" customHeight="true" outlineLevel="0" collapsed="false">
      <c r="A38" s="8" t="s">
        <v>30</v>
      </c>
      <c r="B38" s="8" t="s">
        <v>107</v>
      </c>
      <c r="C38" s="9" t="n">
        <v>277</v>
      </c>
      <c r="D38" s="8" t="s">
        <v>55</v>
      </c>
      <c r="E38" s="8" t="s">
        <v>16</v>
      </c>
      <c r="F38" s="10" t="s">
        <v>108</v>
      </c>
      <c r="G38" s="10"/>
      <c r="H38" s="8" t="s">
        <v>60</v>
      </c>
    </row>
    <row r="39" customFormat="false" ht="30" hidden="false" customHeight="true" outlineLevel="0" collapsed="false">
      <c r="A39" s="8" t="s">
        <v>30</v>
      </c>
      <c r="B39" s="8" t="s">
        <v>109</v>
      </c>
      <c r="C39" s="9" t="n">
        <v>270</v>
      </c>
      <c r="D39" s="8" t="s">
        <v>55</v>
      </c>
      <c r="E39" s="8" t="s">
        <v>16</v>
      </c>
      <c r="F39" s="10" t="s">
        <v>110</v>
      </c>
      <c r="G39" s="10"/>
      <c r="H39" s="8" t="s">
        <v>60</v>
      </c>
    </row>
    <row r="40" customFormat="false" ht="30" hidden="false" customHeight="true" outlineLevel="0" collapsed="false">
      <c r="A40" s="8" t="s">
        <v>30</v>
      </c>
      <c r="B40" s="8" t="s">
        <v>111</v>
      </c>
      <c r="C40" s="9" t="n">
        <v>235</v>
      </c>
      <c r="D40" s="8" t="s">
        <v>55</v>
      </c>
      <c r="E40" s="8" t="s">
        <v>16</v>
      </c>
      <c r="F40" s="10" t="s">
        <v>112</v>
      </c>
      <c r="G40" s="10"/>
      <c r="H40" s="8" t="s">
        <v>60</v>
      </c>
    </row>
    <row r="41" customFormat="false" ht="30" hidden="false" customHeight="true" outlineLevel="0" collapsed="false">
      <c r="A41" s="8" t="s">
        <v>30</v>
      </c>
      <c r="B41" s="8" t="s">
        <v>113</v>
      </c>
      <c r="C41" s="9" t="n">
        <v>113</v>
      </c>
      <c r="D41" s="8" t="s">
        <v>55</v>
      </c>
      <c r="E41" s="8" t="s">
        <v>95</v>
      </c>
      <c r="F41" s="10" t="s">
        <v>114</v>
      </c>
      <c r="G41" s="10" t="s">
        <v>115</v>
      </c>
      <c r="H41" s="8" t="s">
        <v>64</v>
      </c>
    </row>
    <row r="42" customFormat="false" ht="30" hidden="false" customHeight="true" outlineLevel="0" collapsed="false">
      <c r="A42" s="8" t="s">
        <v>30</v>
      </c>
      <c r="B42" s="8" t="s">
        <v>116</v>
      </c>
      <c r="C42" s="9" t="n">
        <v>101</v>
      </c>
      <c r="D42" s="8" t="s">
        <v>55</v>
      </c>
      <c r="E42" s="8" t="s">
        <v>47</v>
      </c>
      <c r="F42" s="10" t="s">
        <v>117</v>
      </c>
      <c r="G42" s="10"/>
      <c r="H42" s="8" t="s">
        <v>60</v>
      </c>
    </row>
    <row r="43" customFormat="false" ht="18.75" hidden="false" customHeight="true" outlineLevel="0" collapsed="false">
      <c r="A43" s="3" t="s">
        <v>118</v>
      </c>
      <c r="B43" s="3"/>
      <c r="C43" s="3"/>
      <c r="D43" s="3"/>
      <c r="E43" s="3"/>
      <c r="F43" s="3"/>
      <c r="G43" s="3"/>
      <c r="H43" s="3"/>
    </row>
    <row r="44" customFormat="false" ht="30" hidden="false" customHeight="true" outlineLevel="0" collapsed="false">
      <c r="A44" s="4" t="s">
        <v>9</v>
      </c>
      <c r="B44" s="5" t="s">
        <v>119</v>
      </c>
      <c r="C44" s="6" t="n">
        <v>276</v>
      </c>
      <c r="D44" s="5" t="s">
        <v>118</v>
      </c>
      <c r="E44" s="5" t="s">
        <v>120</v>
      </c>
      <c r="F44" s="7" t="s">
        <v>121</v>
      </c>
      <c r="G44" s="7" t="s">
        <v>122</v>
      </c>
      <c r="H44" s="5" t="s">
        <v>123</v>
      </c>
    </row>
    <row r="45" customFormat="false" ht="30" hidden="false" customHeight="true" outlineLevel="0" collapsed="false">
      <c r="A45" s="4" t="s">
        <v>9</v>
      </c>
      <c r="B45" s="5" t="s">
        <v>124</v>
      </c>
      <c r="C45" s="6" t="n">
        <v>194</v>
      </c>
      <c r="D45" s="5" t="s">
        <v>118</v>
      </c>
      <c r="E45" s="5" t="s">
        <v>27</v>
      </c>
      <c r="F45" s="7" t="s">
        <v>125</v>
      </c>
      <c r="G45" s="7" t="s">
        <v>126</v>
      </c>
      <c r="H45" s="5" t="s">
        <v>123</v>
      </c>
    </row>
    <row r="46" customFormat="false" ht="30" hidden="false" customHeight="true" outlineLevel="0" collapsed="false">
      <c r="A46" s="4" t="s">
        <v>9</v>
      </c>
      <c r="B46" s="5" t="s">
        <v>127</v>
      </c>
      <c r="C46" s="6" t="n">
        <v>143</v>
      </c>
      <c r="D46" s="5" t="s">
        <v>118</v>
      </c>
      <c r="E46" s="5" t="s">
        <v>120</v>
      </c>
      <c r="F46" s="7" t="s">
        <v>128</v>
      </c>
      <c r="G46" s="7" t="s">
        <v>129</v>
      </c>
      <c r="H46" s="5" t="s">
        <v>123</v>
      </c>
    </row>
    <row r="47" customFormat="false" ht="30" hidden="false" customHeight="true" outlineLevel="0" collapsed="false">
      <c r="A47" s="4" t="s">
        <v>9</v>
      </c>
      <c r="B47" s="5" t="s">
        <v>130</v>
      </c>
      <c r="C47" s="6" t="n">
        <v>100</v>
      </c>
      <c r="D47" s="5" t="s">
        <v>118</v>
      </c>
      <c r="E47" s="5" t="s">
        <v>11</v>
      </c>
      <c r="F47" s="7" t="s">
        <v>131</v>
      </c>
      <c r="G47" s="7" t="s">
        <v>132</v>
      </c>
      <c r="H47" s="5" t="s">
        <v>123</v>
      </c>
    </row>
    <row r="48" customFormat="false" ht="30" hidden="false" customHeight="true" outlineLevel="0" collapsed="false">
      <c r="A48" s="8" t="s">
        <v>30</v>
      </c>
      <c r="B48" s="8" t="s">
        <v>133</v>
      </c>
      <c r="C48" s="9" t="n">
        <v>603</v>
      </c>
      <c r="D48" s="8" t="s">
        <v>118</v>
      </c>
      <c r="E48" s="8" t="s">
        <v>16</v>
      </c>
      <c r="F48" s="10" t="s">
        <v>134</v>
      </c>
      <c r="G48" s="10" t="s">
        <v>135</v>
      </c>
      <c r="H48" s="8" t="s">
        <v>123</v>
      </c>
    </row>
    <row r="49" customFormat="false" ht="30" hidden="false" customHeight="true" outlineLevel="0" collapsed="false">
      <c r="A49" s="8" t="s">
        <v>30</v>
      </c>
      <c r="B49" s="8" t="s">
        <v>136</v>
      </c>
      <c r="C49" s="9" t="n">
        <v>239</v>
      </c>
      <c r="D49" s="8" t="s">
        <v>118</v>
      </c>
      <c r="E49" s="8" t="s">
        <v>11</v>
      </c>
      <c r="F49" s="10" t="s">
        <v>137</v>
      </c>
      <c r="G49" s="10" t="s">
        <v>138</v>
      </c>
      <c r="H49" s="8" t="s">
        <v>123</v>
      </c>
    </row>
    <row r="50" customFormat="false" ht="30" hidden="false" customHeight="true" outlineLevel="0" collapsed="false">
      <c r="A50" s="8" t="s">
        <v>30</v>
      </c>
      <c r="B50" s="8" t="s">
        <v>139</v>
      </c>
      <c r="C50" s="9" t="n">
        <v>158</v>
      </c>
      <c r="D50" s="8" t="s">
        <v>118</v>
      </c>
      <c r="E50" s="8" t="s">
        <v>34</v>
      </c>
      <c r="F50" s="10" t="s">
        <v>140</v>
      </c>
      <c r="G50" s="10" t="s">
        <v>141</v>
      </c>
      <c r="H50" s="8" t="s">
        <v>123</v>
      </c>
    </row>
    <row r="51" customFormat="false" ht="30" hidden="false" customHeight="true" outlineLevel="0" collapsed="false">
      <c r="A51" s="8" t="s">
        <v>30</v>
      </c>
      <c r="B51" s="8" t="s">
        <v>142</v>
      </c>
      <c r="C51" s="9" t="n">
        <v>149</v>
      </c>
      <c r="D51" s="8" t="s">
        <v>118</v>
      </c>
      <c r="E51" s="8" t="s">
        <v>11</v>
      </c>
      <c r="F51" s="10" t="s">
        <v>143</v>
      </c>
      <c r="G51" s="10" t="s">
        <v>144</v>
      </c>
      <c r="H51" s="8" t="s">
        <v>145</v>
      </c>
    </row>
    <row r="52" customFormat="false" ht="18.75" hidden="false" customHeight="true" outlineLevel="0" collapsed="false">
      <c r="A52" s="3" t="s">
        <v>146</v>
      </c>
      <c r="B52" s="3"/>
      <c r="C52" s="3"/>
      <c r="D52" s="3"/>
      <c r="E52" s="3"/>
      <c r="F52" s="3"/>
      <c r="G52" s="3"/>
      <c r="H52" s="3"/>
    </row>
    <row r="53" customFormat="false" ht="30" hidden="false" customHeight="true" outlineLevel="0" collapsed="false">
      <c r="A53" s="4" t="s">
        <v>9</v>
      </c>
      <c r="B53" s="5" t="s">
        <v>147</v>
      </c>
      <c r="C53" s="6" t="n">
        <v>4106</v>
      </c>
      <c r="D53" s="5" t="s">
        <v>146</v>
      </c>
      <c r="E53" s="5" t="s">
        <v>16</v>
      </c>
      <c r="F53" s="7" t="s">
        <v>148</v>
      </c>
      <c r="G53" s="7" t="s">
        <v>149</v>
      </c>
      <c r="H53" s="5" t="s">
        <v>150</v>
      </c>
    </row>
    <row r="54" customFormat="false" ht="30" hidden="false" customHeight="true" outlineLevel="0" collapsed="false">
      <c r="A54" s="4" t="s">
        <v>9</v>
      </c>
      <c r="B54" s="5" t="s">
        <v>151</v>
      </c>
      <c r="C54" s="6" t="n">
        <v>233</v>
      </c>
      <c r="D54" s="5" t="s">
        <v>146</v>
      </c>
      <c r="E54" s="5" t="s">
        <v>11</v>
      </c>
      <c r="F54" s="7" t="s">
        <v>152</v>
      </c>
      <c r="G54" s="7" t="s">
        <v>153</v>
      </c>
      <c r="H54" s="5" t="s">
        <v>154</v>
      </c>
    </row>
    <row r="55" customFormat="false" ht="30" hidden="false" customHeight="true" outlineLevel="0" collapsed="false">
      <c r="A55" s="4" t="s">
        <v>9</v>
      </c>
      <c r="B55" s="5" t="s">
        <v>155</v>
      </c>
      <c r="C55" s="6" t="n">
        <v>182</v>
      </c>
      <c r="D55" s="5" t="s">
        <v>146</v>
      </c>
      <c r="E55" s="5" t="s">
        <v>156</v>
      </c>
      <c r="F55" s="7" t="s">
        <v>157</v>
      </c>
      <c r="G55" s="7" t="s">
        <v>158</v>
      </c>
      <c r="H55" s="5" t="s">
        <v>159</v>
      </c>
    </row>
    <row r="56" customFormat="false" ht="30" hidden="false" customHeight="true" outlineLevel="0" collapsed="false">
      <c r="A56" s="4" t="s">
        <v>9</v>
      </c>
      <c r="B56" s="5" t="s">
        <v>160</v>
      </c>
      <c r="C56" s="6" t="n">
        <v>151</v>
      </c>
      <c r="D56" s="5" t="s">
        <v>146</v>
      </c>
      <c r="E56" s="5" t="s">
        <v>11</v>
      </c>
      <c r="F56" s="7" t="s">
        <v>161</v>
      </c>
      <c r="G56" s="7" t="s">
        <v>162</v>
      </c>
      <c r="H56" s="5" t="s">
        <v>150</v>
      </c>
    </row>
    <row r="57" customFormat="false" ht="30" hidden="false" customHeight="true" outlineLevel="0" collapsed="false">
      <c r="A57" s="4" t="s">
        <v>9</v>
      </c>
      <c r="B57" s="5" t="s">
        <v>163</v>
      </c>
      <c r="C57" s="6" t="n">
        <v>146</v>
      </c>
      <c r="D57" s="5" t="s">
        <v>146</v>
      </c>
      <c r="E57" s="5" t="s">
        <v>27</v>
      </c>
      <c r="F57" s="7" t="s">
        <v>164</v>
      </c>
      <c r="G57" s="7" t="s">
        <v>165</v>
      </c>
      <c r="H57" s="5" t="s">
        <v>166</v>
      </c>
    </row>
    <row r="58" customFormat="false" ht="30" hidden="false" customHeight="true" outlineLevel="0" collapsed="false">
      <c r="A58" s="8" t="s">
        <v>30</v>
      </c>
      <c r="B58" s="8" t="s">
        <v>167</v>
      </c>
      <c r="C58" s="9" t="n">
        <v>3330</v>
      </c>
      <c r="D58" s="8" t="s">
        <v>146</v>
      </c>
      <c r="E58" s="8" t="s">
        <v>57</v>
      </c>
      <c r="F58" s="10" t="s">
        <v>168</v>
      </c>
      <c r="G58" s="10" t="s">
        <v>169</v>
      </c>
      <c r="H58" s="8" t="s">
        <v>166</v>
      </c>
    </row>
    <row r="59" customFormat="false" ht="30" hidden="false" customHeight="true" outlineLevel="0" collapsed="false">
      <c r="A59" s="8" t="s">
        <v>30</v>
      </c>
      <c r="B59" s="8" t="s">
        <v>170</v>
      </c>
      <c r="C59" s="9" t="n">
        <v>1772</v>
      </c>
      <c r="D59" s="8" t="s">
        <v>146</v>
      </c>
      <c r="E59" s="8" t="s">
        <v>11</v>
      </c>
      <c r="F59" s="10" t="s">
        <v>171</v>
      </c>
      <c r="G59" s="10"/>
      <c r="H59" s="8" t="s">
        <v>166</v>
      </c>
    </row>
    <row r="60" customFormat="false" ht="30" hidden="false" customHeight="true" outlineLevel="0" collapsed="false">
      <c r="A60" s="8" t="s">
        <v>30</v>
      </c>
      <c r="B60" s="8" t="s">
        <v>172</v>
      </c>
      <c r="C60" s="9" t="n">
        <v>105</v>
      </c>
      <c r="D60" s="8" t="s">
        <v>146</v>
      </c>
      <c r="E60" s="8" t="s">
        <v>27</v>
      </c>
      <c r="F60" s="10" t="s">
        <v>173</v>
      </c>
      <c r="G60" s="10"/>
      <c r="H60" s="8" t="s">
        <v>166</v>
      </c>
    </row>
    <row r="61" customFormat="false" ht="18.75" hidden="false" customHeight="true" outlineLevel="0" collapsed="false">
      <c r="A61" s="3" t="s">
        <v>174</v>
      </c>
      <c r="B61" s="3"/>
      <c r="C61" s="3"/>
      <c r="D61" s="3"/>
      <c r="E61" s="3"/>
      <c r="F61" s="3"/>
      <c r="G61" s="3"/>
      <c r="H61" s="3"/>
    </row>
    <row r="62" customFormat="false" ht="30" hidden="false" customHeight="true" outlineLevel="0" collapsed="false">
      <c r="A62" s="4" t="s">
        <v>9</v>
      </c>
      <c r="B62" s="5" t="s">
        <v>175</v>
      </c>
      <c r="C62" s="6" t="n">
        <v>474</v>
      </c>
      <c r="D62" s="5" t="s">
        <v>174</v>
      </c>
      <c r="E62" s="5" t="s">
        <v>176</v>
      </c>
      <c r="F62" s="7" t="s">
        <v>177</v>
      </c>
      <c r="G62" s="7" t="s">
        <v>178</v>
      </c>
      <c r="H62" s="5" t="s">
        <v>179</v>
      </c>
    </row>
    <row r="63" customFormat="false" ht="30" hidden="false" customHeight="true" outlineLevel="0" collapsed="false">
      <c r="A63" s="4" t="s">
        <v>9</v>
      </c>
      <c r="B63" s="5" t="s">
        <v>180</v>
      </c>
      <c r="C63" s="6" t="n">
        <v>284</v>
      </c>
      <c r="D63" s="5" t="s">
        <v>174</v>
      </c>
      <c r="E63" s="5" t="s">
        <v>57</v>
      </c>
      <c r="F63" s="7" t="s">
        <v>181</v>
      </c>
      <c r="G63" s="7" t="s">
        <v>182</v>
      </c>
      <c r="H63" s="5" t="s">
        <v>179</v>
      </c>
    </row>
    <row r="64" customFormat="false" ht="30" hidden="false" customHeight="true" outlineLevel="0" collapsed="false">
      <c r="A64" s="8" t="s">
        <v>30</v>
      </c>
      <c r="B64" s="8" t="s">
        <v>183</v>
      </c>
      <c r="C64" s="9" t="n">
        <v>1204</v>
      </c>
      <c r="D64" s="8" t="s">
        <v>174</v>
      </c>
      <c r="E64" s="8" t="s">
        <v>16</v>
      </c>
      <c r="F64" s="10" t="s">
        <v>184</v>
      </c>
      <c r="G64" s="10" t="s">
        <v>169</v>
      </c>
      <c r="H64" s="8" t="s">
        <v>185</v>
      </c>
    </row>
    <row r="65" customFormat="false" ht="30" hidden="false" customHeight="true" outlineLevel="0" collapsed="false">
      <c r="A65" s="8" t="s">
        <v>30</v>
      </c>
      <c r="B65" s="8" t="s">
        <v>186</v>
      </c>
      <c r="C65" s="9" t="n">
        <v>644</v>
      </c>
      <c r="D65" s="8" t="s">
        <v>174</v>
      </c>
      <c r="E65" s="8" t="s">
        <v>176</v>
      </c>
      <c r="F65" s="10" t="s">
        <v>187</v>
      </c>
      <c r="G65" s="10" t="s">
        <v>188</v>
      </c>
      <c r="H65" s="8" t="s">
        <v>185</v>
      </c>
    </row>
    <row r="66" customFormat="false" ht="30" hidden="false" customHeight="true" outlineLevel="0" collapsed="false">
      <c r="A66" s="8" t="s">
        <v>30</v>
      </c>
      <c r="B66" s="8" t="s">
        <v>189</v>
      </c>
      <c r="C66" s="9" t="n">
        <v>562</v>
      </c>
      <c r="D66" s="8" t="s">
        <v>174</v>
      </c>
      <c r="E66" s="8" t="s">
        <v>11</v>
      </c>
      <c r="F66" s="10" t="s">
        <v>190</v>
      </c>
      <c r="G66" s="10"/>
      <c r="H66" s="8" t="s">
        <v>185</v>
      </c>
    </row>
    <row r="67" customFormat="false" ht="30" hidden="false" customHeight="true" outlineLevel="0" collapsed="false">
      <c r="A67" s="8" t="s">
        <v>30</v>
      </c>
      <c r="B67" s="8" t="s">
        <v>191</v>
      </c>
      <c r="C67" s="9" t="n">
        <v>289</v>
      </c>
      <c r="D67" s="8" t="s">
        <v>174</v>
      </c>
      <c r="E67" s="8" t="s">
        <v>16</v>
      </c>
      <c r="F67" s="10" t="s">
        <v>192</v>
      </c>
      <c r="G67" s="10"/>
      <c r="H67" s="8" t="s">
        <v>185</v>
      </c>
    </row>
    <row r="68" customFormat="false" ht="30" hidden="false" customHeight="true" outlineLevel="0" collapsed="false">
      <c r="A68" s="8" t="s">
        <v>30</v>
      </c>
      <c r="B68" s="8" t="s">
        <v>193</v>
      </c>
      <c r="C68" s="9" t="n">
        <v>157</v>
      </c>
      <c r="D68" s="8" t="s">
        <v>174</v>
      </c>
      <c r="E68" s="8" t="s">
        <v>27</v>
      </c>
      <c r="F68" s="10" t="s">
        <v>194</v>
      </c>
      <c r="G68" s="10" t="s">
        <v>195</v>
      </c>
      <c r="H68" s="8" t="s">
        <v>196</v>
      </c>
    </row>
    <row r="69" customFormat="false" ht="30" hidden="false" customHeight="true" outlineLevel="0" collapsed="false">
      <c r="A69" s="8" t="s">
        <v>30</v>
      </c>
      <c r="B69" s="8" t="s">
        <v>197</v>
      </c>
      <c r="C69" s="9" t="n">
        <v>114</v>
      </c>
      <c r="D69" s="8" t="s">
        <v>174</v>
      </c>
      <c r="E69" s="8" t="s">
        <v>16</v>
      </c>
      <c r="F69" s="10" t="s">
        <v>198</v>
      </c>
      <c r="G69" s="10"/>
      <c r="H69" s="8" t="s">
        <v>185</v>
      </c>
    </row>
    <row r="70" customFormat="false" ht="30" hidden="false" customHeight="true" outlineLevel="0" collapsed="false">
      <c r="A70" s="8" t="s">
        <v>30</v>
      </c>
      <c r="B70" s="8" t="s">
        <v>199</v>
      </c>
      <c r="C70" s="9" t="n">
        <v>101</v>
      </c>
      <c r="D70" s="8" t="s">
        <v>174</v>
      </c>
      <c r="E70" s="8" t="s">
        <v>16</v>
      </c>
      <c r="F70" s="10" t="s">
        <v>200</v>
      </c>
      <c r="G70" s="10"/>
      <c r="H70" s="8" t="s">
        <v>185</v>
      </c>
    </row>
    <row r="71" customFormat="false" ht="18.75" hidden="false" customHeight="true" outlineLevel="0" collapsed="false">
      <c r="A71" s="3" t="s">
        <v>201</v>
      </c>
      <c r="B71" s="3"/>
      <c r="C71" s="3"/>
      <c r="D71" s="3"/>
      <c r="E71" s="3"/>
      <c r="F71" s="3"/>
      <c r="G71" s="3"/>
      <c r="H71" s="3"/>
    </row>
    <row r="72" customFormat="false" ht="30" hidden="false" customHeight="true" outlineLevel="0" collapsed="false">
      <c r="A72" s="4" t="s">
        <v>9</v>
      </c>
      <c r="B72" s="5" t="s">
        <v>202</v>
      </c>
      <c r="C72" s="6" t="n">
        <v>3366</v>
      </c>
      <c r="D72" s="5" t="s">
        <v>201</v>
      </c>
      <c r="E72" s="5" t="s">
        <v>57</v>
      </c>
      <c r="F72" s="7" t="s">
        <v>203</v>
      </c>
      <c r="G72" s="7" t="s">
        <v>204</v>
      </c>
      <c r="H72" s="5" t="s">
        <v>205</v>
      </c>
    </row>
    <row r="73" customFormat="false" ht="30" hidden="false" customHeight="true" outlineLevel="0" collapsed="false">
      <c r="A73" s="4" t="s">
        <v>9</v>
      </c>
      <c r="B73" s="5" t="s">
        <v>206</v>
      </c>
      <c r="C73" s="6" t="n">
        <v>1227</v>
      </c>
      <c r="D73" s="5" t="s">
        <v>201</v>
      </c>
      <c r="E73" s="5" t="s">
        <v>47</v>
      </c>
      <c r="F73" s="7" t="s">
        <v>207</v>
      </c>
      <c r="G73" s="7" t="s">
        <v>208</v>
      </c>
      <c r="H73" s="5" t="s">
        <v>209</v>
      </c>
    </row>
    <row r="74" customFormat="false" ht="30" hidden="false" customHeight="true" outlineLevel="0" collapsed="false">
      <c r="A74" s="4" t="s">
        <v>9</v>
      </c>
      <c r="B74" s="5" t="s">
        <v>210</v>
      </c>
      <c r="C74" s="6" t="n">
        <v>100</v>
      </c>
      <c r="D74" s="5" t="s">
        <v>201</v>
      </c>
      <c r="E74" s="5" t="s">
        <v>16</v>
      </c>
      <c r="F74" s="7" t="s">
        <v>211</v>
      </c>
      <c r="G74" s="7" t="s">
        <v>212</v>
      </c>
      <c r="H74" s="5" t="s">
        <v>209</v>
      </c>
    </row>
    <row r="75" customFormat="false" ht="30" hidden="false" customHeight="true" outlineLevel="0" collapsed="false">
      <c r="A75" s="8" t="s">
        <v>30</v>
      </c>
      <c r="B75" s="8" t="s">
        <v>213</v>
      </c>
      <c r="C75" s="9" t="n">
        <v>5617</v>
      </c>
      <c r="D75" s="8" t="s">
        <v>201</v>
      </c>
      <c r="E75" s="8" t="s">
        <v>16</v>
      </c>
      <c r="F75" s="10" t="s">
        <v>214</v>
      </c>
      <c r="G75" s="10" t="s">
        <v>215</v>
      </c>
      <c r="H75" s="8" t="s">
        <v>209</v>
      </c>
    </row>
    <row r="76" customFormat="false" ht="30" hidden="false" customHeight="true" outlineLevel="0" collapsed="false">
      <c r="A76" s="8" t="s">
        <v>30</v>
      </c>
      <c r="B76" s="8" t="s">
        <v>216</v>
      </c>
      <c r="C76" s="9" t="n">
        <v>2757</v>
      </c>
      <c r="D76" s="8" t="s">
        <v>201</v>
      </c>
      <c r="E76" s="8" t="s">
        <v>11</v>
      </c>
      <c r="F76" s="10" t="s">
        <v>217</v>
      </c>
      <c r="G76" s="10"/>
      <c r="H76" s="8" t="s">
        <v>209</v>
      </c>
    </row>
    <row r="77" customFormat="false" ht="30" hidden="false" customHeight="true" outlineLevel="0" collapsed="false">
      <c r="A77" s="8" t="s">
        <v>30</v>
      </c>
      <c r="B77" s="8" t="s">
        <v>218</v>
      </c>
      <c r="C77" s="9" t="n">
        <v>1481</v>
      </c>
      <c r="D77" s="8" t="s">
        <v>201</v>
      </c>
      <c r="E77" s="8" t="s">
        <v>57</v>
      </c>
      <c r="F77" s="10" t="s">
        <v>219</v>
      </c>
      <c r="G77" s="10" t="s">
        <v>220</v>
      </c>
      <c r="H77" s="8" t="s">
        <v>205</v>
      </c>
    </row>
    <row r="78" customFormat="false" ht="30" hidden="false" customHeight="true" outlineLevel="0" collapsed="false">
      <c r="A78" s="8" t="s">
        <v>30</v>
      </c>
      <c r="B78" s="8" t="s">
        <v>221</v>
      </c>
      <c r="C78" s="9" t="n">
        <v>396</v>
      </c>
      <c r="D78" s="8" t="s">
        <v>201</v>
      </c>
      <c r="E78" s="8" t="s">
        <v>176</v>
      </c>
      <c r="F78" s="10" t="s">
        <v>222</v>
      </c>
      <c r="G78" s="10"/>
      <c r="H78" s="8" t="s">
        <v>223</v>
      </c>
    </row>
    <row r="79" customFormat="false" ht="30" hidden="false" customHeight="true" outlineLevel="0" collapsed="false">
      <c r="A79" s="8" t="s">
        <v>30</v>
      </c>
      <c r="B79" s="8" t="s">
        <v>224</v>
      </c>
      <c r="C79" s="9" t="n">
        <v>328</v>
      </c>
      <c r="D79" s="8" t="s">
        <v>201</v>
      </c>
      <c r="E79" s="8" t="s">
        <v>16</v>
      </c>
      <c r="F79" s="10" t="s">
        <v>225</v>
      </c>
      <c r="G79" s="10"/>
      <c r="H79" s="8" t="s">
        <v>209</v>
      </c>
    </row>
    <row r="80" customFormat="false" ht="30" hidden="false" customHeight="true" outlineLevel="0" collapsed="false">
      <c r="A80" s="8" t="s">
        <v>30</v>
      </c>
      <c r="B80" s="8" t="s">
        <v>226</v>
      </c>
      <c r="C80" s="9" t="n">
        <v>275</v>
      </c>
      <c r="D80" s="8" t="s">
        <v>201</v>
      </c>
      <c r="E80" s="8" t="s">
        <v>11</v>
      </c>
      <c r="F80" s="10" t="s">
        <v>227</v>
      </c>
      <c r="G80" s="10"/>
      <c r="H80" s="8" t="s">
        <v>209</v>
      </c>
    </row>
    <row r="81" customFormat="false" ht="30" hidden="false" customHeight="true" outlineLevel="0" collapsed="false">
      <c r="A81" s="8" t="s">
        <v>30</v>
      </c>
      <c r="B81" s="8" t="s">
        <v>228</v>
      </c>
      <c r="C81" s="9" t="n">
        <v>243</v>
      </c>
      <c r="D81" s="8" t="s">
        <v>201</v>
      </c>
      <c r="E81" s="8" t="s">
        <v>11</v>
      </c>
      <c r="F81" s="10" t="s">
        <v>229</v>
      </c>
      <c r="G81" s="10" t="s">
        <v>230</v>
      </c>
      <c r="H81" s="8" t="s">
        <v>231</v>
      </c>
    </row>
    <row r="82" customFormat="false" ht="30" hidden="false" customHeight="true" outlineLevel="0" collapsed="false">
      <c r="A82" s="8" t="s">
        <v>30</v>
      </c>
      <c r="B82" s="8" t="s">
        <v>232</v>
      </c>
      <c r="C82" s="9" t="n">
        <v>194</v>
      </c>
      <c r="D82" s="8" t="s">
        <v>201</v>
      </c>
      <c r="E82" s="8" t="s">
        <v>16</v>
      </c>
      <c r="F82" s="10" t="s">
        <v>233</v>
      </c>
      <c r="G82" s="10"/>
      <c r="H82" s="8" t="s">
        <v>209</v>
      </c>
    </row>
    <row r="83" customFormat="false" ht="30" hidden="false" customHeight="true" outlineLevel="0" collapsed="false">
      <c r="A83" s="8" t="s">
        <v>30</v>
      </c>
      <c r="B83" s="8" t="s">
        <v>234</v>
      </c>
      <c r="C83" s="9" t="n">
        <v>180</v>
      </c>
      <c r="D83" s="8" t="s">
        <v>201</v>
      </c>
      <c r="E83" s="8" t="s">
        <v>11</v>
      </c>
      <c r="F83" s="10" t="s">
        <v>235</v>
      </c>
      <c r="G83" s="10" t="s">
        <v>236</v>
      </c>
      <c r="H83" s="8" t="s">
        <v>237</v>
      </c>
    </row>
    <row r="84" customFormat="false" ht="30" hidden="false" customHeight="true" outlineLevel="0" collapsed="false">
      <c r="A84" s="8" t="s">
        <v>30</v>
      </c>
      <c r="B84" s="8" t="s">
        <v>238</v>
      </c>
      <c r="C84" s="9" t="n">
        <v>153</v>
      </c>
      <c r="D84" s="8" t="s">
        <v>201</v>
      </c>
      <c r="E84" s="8" t="s">
        <v>11</v>
      </c>
      <c r="F84" s="10" t="s">
        <v>239</v>
      </c>
      <c r="G84" s="10" t="s">
        <v>240</v>
      </c>
      <c r="H84" s="8" t="s">
        <v>209</v>
      </c>
    </row>
    <row r="85" customFormat="false" ht="30" hidden="false" customHeight="true" outlineLevel="0" collapsed="false">
      <c r="A85" s="8" t="s">
        <v>30</v>
      </c>
      <c r="B85" s="8" t="s">
        <v>241</v>
      </c>
      <c r="C85" s="9" t="n">
        <v>126</v>
      </c>
      <c r="D85" s="8" t="s">
        <v>201</v>
      </c>
      <c r="E85" s="8" t="s">
        <v>11</v>
      </c>
      <c r="F85" s="10" t="s">
        <v>242</v>
      </c>
      <c r="G85" s="10"/>
      <c r="H85" s="8" t="s">
        <v>209</v>
      </c>
    </row>
    <row r="86" customFormat="false" ht="30" hidden="false" customHeight="true" outlineLevel="0" collapsed="false">
      <c r="A86" s="8" t="s">
        <v>30</v>
      </c>
      <c r="B86" s="8" t="s">
        <v>243</v>
      </c>
      <c r="C86" s="9" t="n">
        <v>106</v>
      </c>
      <c r="D86" s="8" t="s">
        <v>201</v>
      </c>
      <c r="E86" s="8" t="s">
        <v>11</v>
      </c>
      <c r="F86" s="10" t="s">
        <v>244</v>
      </c>
      <c r="G86" s="10" t="s">
        <v>245</v>
      </c>
      <c r="H86" s="8" t="s">
        <v>246</v>
      </c>
    </row>
    <row r="87" customFormat="false" ht="18.75" hidden="false" customHeight="true" outlineLevel="0" collapsed="false">
      <c r="A87" s="3" t="s">
        <v>247</v>
      </c>
      <c r="B87" s="3"/>
      <c r="C87" s="3"/>
      <c r="D87" s="3"/>
      <c r="E87" s="3"/>
      <c r="F87" s="3"/>
      <c r="G87" s="3"/>
      <c r="H87" s="3"/>
    </row>
    <row r="88" customFormat="false" ht="30" hidden="false" customHeight="true" outlineLevel="0" collapsed="false">
      <c r="A88" s="4" t="s">
        <v>9</v>
      </c>
      <c r="B88" s="5" t="s">
        <v>248</v>
      </c>
      <c r="C88" s="6" t="n">
        <v>2423</v>
      </c>
      <c r="D88" s="5" t="s">
        <v>247</v>
      </c>
      <c r="E88" s="5" t="s">
        <v>176</v>
      </c>
      <c r="F88" s="7" t="s">
        <v>249</v>
      </c>
      <c r="G88" s="7" t="s">
        <v>250</v>
      </c>
      <c r="H88" s="5" t="s">
        <v>251</v>
      </c>
    </row>
    <row r="89" customFormat="false" ht="30" hidden="false" customHeight="true" outlineLevel="0" collapsed="false">
      <c r="A89" s="4" t="s">
        <v>9</v>
      </c>
      <c r="B89" s="5" t="s">
        <v>252</v>
      </c>
      <c r="C89" s="6" t="n">
        <v>120</v>
      </c>
      <c r="D89" s="5" t="s">
        <v>247</v>
      </c>
      <c r="E89" s="5" t="s">
        <v>16</v>
      </c>
      <c r="F89" s="7" t="s">
        <v>253</v>
      </c>
      <c r="G89" s="7" t="s">
        <v>254</v>
      </c>
      <c r="H89" s="5" t="s">
        <v>251</v>
      </c>
    </row>
    <row r="90" customFormat="false" ht="30" hidden="false" customHeight="true" outlineLevel="0" collapsed="false">
      <c r="A90" s="8" t="s">
        <v>30</v>
      </c>
      <c r="B90" s="8" t="s">
        <v>255</v>
      </c>
      <c r="C90" s="9" t="n">
        <v>804</v>
      </c>
      <c r="D90" s="8" t="s">
        <v>247</v>
      </c>
      <c r="E90" s="8" t="s">
        <v>11</v>
      </c>
      <c r="F90" s="10" t="s">
        <v>256</v>
      </c>
      <c r="G90" s="10" t="s">
        <v>257</v>
      </c>
      <c r="H90" s="8" t="s">
        <v>258</v>
      </c>
    </row>
    <row r="91" customFormat="false" ht="30" hidden="false" customHeight="true" outlineLevel="0" collapsed="false">
      <c r="A91" s="8" t="s">
        <v>30</v>
      </c>
      <c r="B91" s="8" t="s">
        <v>259</v>
      </c>
      <c r="C91" s="9" t="n">
        <v>478</v>
      </c>
      <c r="D91" s="8" t="s">
        <v>247</v>
      </c>
      <c r="E91" s="8" t="s">
        <v>27</v>
      </c>
      <c r="F91" s="10" t="s">
        <v>260</v>
      </c>
      <c r="G91" s="10"/>
      <c r="H91" s="8" t="s">
        <v>258</v>
      </c>
    </row>
    <row r="92" customFormat="false" ht="30" hidden="false" customHeight="true" outlineLevel="0" collapsed="false">
      <c r="A92" s="8" t="s">
        <v>30</v>
      </c>
      <c r="B92" s="8" t="s">
        <v>261</v>
      </c>
      <c r="C92" s="9" t="n">
        <v>211</v>
      </c>
      <c r="D92" s="8" t="s">
        <v>247</v>
      </c>
      <c r="E92" s="8" t="s">
        <v>156</v>
      </c>
      <c r="F92" s="10" t="s">
        <v>262</v>
      </c>
      <c r="G92" s="10"/>
      <c r="H92" s="8" t="s">
        <v>258</v>
      </c>
    </row>
    <row r="93" customFormat="false" ht="30" hidden="false" customHeight="true" outlineLevel="0" collapsed="false">
      <c r="A93" s="8" t="s">
        <v>30</v>
      </c>
      <c r="B93" s="8" t="s">
        <v>263</v>
      </c>
      <c r="C93" s="9" t="n">
        <v>118</v>
      </c>
      <c r="D93" s="8" t="s">
        <v>247</v>
      </c>
      <c r="E93" s="8" t="s">
        <v>11</v>
      </c>
      <c r="F93" s="10" t="s">
        <v>264</v>
      </c>
      <c r="G93" s="10" t="s">
        <v>265</v>
      </c>
      <c r="H93" s="8" t="s">
        <v>266</v>
      </c>
    </row>
    <row r="94" customFormat="false" ht="18.75" hidden="false" customHeight="true" outlineLevel="0" collapsed="false">
      <c r="A94" s="3" t="s">
        <v>267</v>
      </c>
      <c r="B94" s="3"/>
      <c r="C94" s="3"/>
      <c r="D94" s="3"/>
      <c r="E94" s="3"/>
      <c r="F94" s="3"/>
      <c r="G94" s="3"/>
      <c r="H94" s="3"/>
    </row>
    <row r="95" customFormat="false" ht="30" hidden="false" customHeight="true" outlineLevel="0" collapsed="false">
      <c r="A95" s="4" t="s">
        <v>9</v>
      </c>
      <c r="B95" s="5" t="s">
        <v>268</v>
      </c>
      <c r="C95" s="6" t="n">
        <v>256</v>
      </c>
      <c r="D95" s="5" t="s">
        <v>267</v>
      </c>
      <c r="E95" s="5" t="s">
        <v>11</v>
      </c>
      <c r="F95" s="7" t="s">
        <v>269</v>
      </c>
      <c r="G95" s="7" t="s">
        <v>270</v>
      </c>
      <c r="H95" s="5" t="s">
        <v>271</v>
      </c>
    </row>
    <row r="96" customFormat="false" ht="30" hidden="false" customHeight="true" outlineLevel="0" collapsed="false">
      <c r="A96" s="8" t="s">
        <v>30</v>
      </c>
      <c r="B96" s="8" t="s">
        <v>272</v>
      </c>
      <c r="C96" s="9" t="n">
        <v>474</v>
      </c>
      <c r="D96" s="8" t="s">
        <v>267</v>
      </c>
      <c r="E96" s="8" t="s">
        <v>16</v>
      </c>
      <c r="F96" s="10" t="s">
        <v>273</v>
      </c>
      <c r="G96" s="10"/>
      <c r="H96" s="8" t="s">
        <v>274</v>
      </c>
    </row>
    <row r="97" customFormat="false" ht="30" hidden="false" customHeight="true" outlineLevel="0" collapsed="false">
      <c r="A97" s="8" t="s">
        <v>30</v>
      </c>
      <c r="B97" s="8" t="s">
        <v>275</v>
      </c>
      <c r="C97" s="9" t="n">
        <v>260</v>
      </c>
      <c r="D97" s="8" t="s">
        <v>267</v>
      </c>
      <c r="E97" s="8" t="s">
        <v>95</v>
      </c>
      <c r="F97" s="10" t="s">
        <v>276</v>
      </c>
      <c r="G97" s="10"/>
      <c r="H97" s="8" t="s">
        <v>274</v>
      </c>
    </row>
    <row r="98" customFormat="false" ht="30" hidden="false" customHeight="true" outlineLevel="0" collapsed="false">
      <c r="A98" s="8" t="s">
        <v>30</v>
      </c>
      <c r="B98" s="8" t="s">
        <v>277</v>
      </c>
      <c r="C98" s="9" t="n">
        <v>249</v>
      </c>
      <c r="D98" s="8" t="s">
        <v>267</v>
      </c>
      <c r="E98" s="8" t="s">
        <v>11</v>
      </c>
      <c r="F98" s="10" t="s">
        <v>278</v>
      </c>
      <c r="G98" s="10"/>
      <c r="H98" s="8" t="s">
        <v>274</v>
      </c>
    </row>
    <row r="99" customFormat="false" ht="18.75" hidden="false" customHeight="true" outlineLevel="0" collapsed="false">
      <c r="A99" s="3" t="s">
        <v>279</v>
      </c>
      <c r="B99" s="3"/>
      <c r="C99" s="3"/>
      <c r="D99" s="3"/>
      <c r="E99" s="3"/>
      <c r="F99" s="3"/>
      <c r="G99" s="3"/>
      <c r="H99" s="3"/>
    </row>
    <row r="100" customFormat="false" ht="30" hidden="false" customHeight="true" outlineLevel="0" collapsed="false">
      <c r="A100" s="4" t="s">
        <v>9</v>
      </c>
      <c r="B100" s="5" t="s">
        <v>280</v>
      </c>
      <c r="C100" s="6" t="n">
        <v>155</v>
      </c>
      <c r="D100" s="5" t="s">
        <v>279</v>
      </c>
      <c r="E100" s="5" t="s">
        <v>47</v>
      </c>
      <c r="F100" s="7" t="s">
        <v>281</v>
      </c>
      <c r="G100" s="7" t="s">
        <v>282</v>
      </c>
      <c r="H100" s="5" t="s">
        <v>231</v>
      </c>
    </row>
    <row r="101" customFormat="false" ht="30" hidden="false" customHeight="true" outlineLevel="0" collapsed="false">
      <c r="A101" s="4" t="s">
        <v>9</v>
      </c>
      <c r="B101" s="5" t="s">
        <v>283</v>
      </c>
      <c r="C101" s="6" t="n">
        <v>104</v>
      </c>
      <c r="D101" s="5" t="s">
        <v>279</v>
      </c>
      <c r="E101" s="5" t="s">
        <v>11</v>
      </c>
      <c r="F101" s="7" t="s">
        <v>284</v>
      </c>
      <c r="G101" s="7" t="s">
        <v>285</v>
      </c>
      <c r="H101" s="5" t="s">
        <v>286</v>
      </c>
    </row>
    <row r="102" customFormat="false" ht="30" hidden="false" customHeight="true" outlineLevel="0" collapsed="false">
      <c r="A102" s="8" t="s">
        <v>30</v>
      </c>
      <c r="B102" s="8" t="s">
        <v>287</v>
      </c>
      <c r="C102" s="9" t="n">
        <v>271</v>
      </c>
      <c r="D102" s="8" t="s">
        <v>279</v>
      </c>
      <c r="E102" s="8" t="s">
        <v>11</v>
      </c>
      <c r="F102" s="10" t="s">
        <v>288</v>
      </c>
      <c r="G102" s="10" t="s">
        <v>289</v>
      </c>
      <c r="H102" s="8" t="s">
        <v>290</v>
      </c>
    </row>
    <row r="103" customFormat="false" ht="30" hidden="false" customHeight="true" outlineLevel="0" collapsed="false">
      <c r="A103" s="8" t="s">
        <v>30</v>
      </c>
      <c r="B103" s="8" t="s">
        <v>291</v>
      </c>
      <c r="C103" s="9" t="n">
        <v>194</v>
      </c>
      <c r="D103" s="8" t="s">
        <v>279</v>
      </c>
      <c r="E103" s="8" t="s">
        <v>16</v>
      </c>
      <c r="F103" s="10" t="s">
        <v>292</v>
      </c>
      <c r="G103" s="10" t="s">
        <v>293</v>
      </c>
      <c r="H103" s="8" t="s">
        <v>294</v>
      </c>
    </row>
    <row r="104" customFormat="false" ht="30" hidden="false" customHeight="true" outlineLevel="0" collapsed="false">
      <c r="A104" s="8" t="s">
        <v>30</v>
      </c>
      <c r="B104" s="8" t="s">
        <v>295</v>
      </c>
      <c r="C104" s="9" t="n">
        <v>147</v>
      </c>
      <c r="D104" s="8" t="s">
        <v>279</v>
      </c>
      <c r="E104" s="8" t="s">
        <v>95</v>
      </c>
      <c r="F104" s="10" t="s">
        <v>296</v>
      </c>
      <c r="G104" s="10" t="s">
        <v>297</v>
      </c>
      <c r="H104" s="8" t="s">
        <v>231</v>
      </c>
    </row>
    <row r="105" customFormat="false" ht="18.75" hidden="false" customHeight="true" outlineLevel="0" collapsed="false">
      <c r="A105" s="3" t="s">
        <v>298</v>
      </c>
      <c r="B105" s="3"/>
      <c r="C105" s="3"/>
      <c r="D105" s="3"/>
      <c r="E105" s="3"/>
      <c r="F105" s="3"/>
      <c r="G105" s="3"/>
      <c r="H105" s="3"/>
    </row>
    <row r="106" customFormat="false" ht="30" hidden="false" customHeight="true" outlineLevel="0" collapsed="false">
      <c r="A106" s="4" t="s">
        <v>9</v>
      </c>
      <c r="B106" s="5" t="s">
        <v>299</v>
      </c>
      <c r="C106" s="6" t="n">
        <v>857</v>
      </c>
      <c r="D106" s="5" t="s">
        <v>298</v>
      </c>
      <c r="E106" s="5" t="s">
        <v>57</v>
      </c>
      <c r="F106" s="7" t="s">
        <v>300</v>
      </c>
      <c r="G106" s="7" t="s">
        <v>301</v>
      </c>
      <c r="H106" s="5" t="s">
        <v>302</v>
      </c>
    </row>
    <row r="107" customFormat="false" ht="30" hidden="false" customHeight="true" outlineLevel="0" collapsed="false">
      <c r="A107" s="8" t="s">
        <v>30</v>
      </c>
      <c r="B107" s="8" t="s">
        <v>303</v>
      </c>
      <c r="C107" s="9" t="n">
        <v>1333</v>
      </c>
      <c r="D107" s="8" t="s">
        <v>298</v>
      </c>
      <c r="E107" s="8" t="s">
        <v>47</v>
      </c>
      <c r="F107" s="10" t="s">
        <v>304</v>
      </c>
      <c r="G107" s="10" t="s">
        <v>305</v>
      </c>
      <c r="H107" s="8" t="s">
        <v>306</v>
      </c>
    </row>
    <row r="108" customFormat="false" ht="30" hidden="false" customHeight="true" outlineLevel="0" collapsed="false">
      <c r="A108" s="8" t="s">
        <v>30</v>
      </c>
      <c r="B108" s="8" t="s">
        <v>307</v>
      </c>
      <c r="C108" s="9" t="n">
        <v>482</v>
      </c>
      <c r="D108" s="8" t="s">
        <v>298</v>
      </c>
      <c r="E108" s="8" t="s">
        <v>47</v>
      </c>
      <c r="F108" s="10" t="s">
        <v>308</v>
      </c>
      <c r="G108" s="10"/>
      <c r="H108" s="8" t="s">
        <v>309</v>
      </c>
    </row>
    <row r="109" customFormat="false" ht="30" hidden="false" customHeight="true" outlineLevel="0" collapsed="false">
      <c r="A109" s="8" t="s">
        <v>30</v>
      </c>
      <c r="B109" s="8" t="s">
        <v>310</v>
      </c>
      <c r="C109" s="9" t="n">
        <v>195</v>
      </c>
      <c r="D109" s="8" t="s">
        <v>298</v>
      </c>
      <c r="E109" s="8" t="s">
        <v>16</v>
      </c>
      <c r="F109" s="10" t="s">
        <v>311</v>
      </c>
      <c r="G109" s="10" t="s">
        <v>312</v>
      </c>
      <c r="H109" s="8" t="s">
        <v>313</v>
      </c>
    </row>
    <row r="110" customFormat="false" ht="18.75" hidden="false" customHeight="true" outlineLevel="0" collapsed="false">
      <c r="A110" s="3" t="s">
        <v>314</v>
      </c>
      <c r="B110" s="3"/>
      <c r="C110" s="3"/>
      <c r="D110" s="3"/>
      <c r="E110" s="3"/>
      <c r="F110" s="3"/>
      <c r="G110" s="3"/>
      <c r="H110" s="3"/>
    </row>
    <row r="111" customFormat="false" ht="30" hidden="false" customHeight="true" outlineLevel="0" collapsed="false">
      <c r="A111" s="4" t="s">
        <v>9</v>
      </c>
      <c r="B111" s="5" t="s">
        <v>315</v>
      </c>
      <c r="C111" s="6" t="n">
        <v>363</v>
      </c>
      <c r="D111" s="5" t="s">
        <v>314</v>
      </c>
      <c r="E111" s="5" t="s">
        <v>11</v>
      </c>
      <c r="F111" s="7" t="s">
        <v>316</v>
      </c>
      <c r="G111" s="7" t="s">
        <v>317</v>
      </c>
      <c r="H111" s="5" t="s">
        <v>318</v>
      </c>
    </row>
    <row r="112" customFormat="false" ht="30" hidden="false" customHeight="true" outlineLevel="0" collapsed="false">
      <c r="A112" s="4" t="s">
        <v>9</v>
      </c>
      <c r="B112" s="5" t="s">
        <v>319</v>
      </c>
      <c r="C112" s="6" t="n">
        <v>104</v>
      </c>
      <c r="D112" s="5" t="s">
        <v>314</v>
      </c>
      <c r="E112" s="5" t="s">
        <v>11</v>
      </c>
      <c r="F112" s="7" t="s">
        <v>320</v>
      </c>
      <c r="G112" s="7" t="s">
        <v>321</v>
      </c>
      <c r="H112" s="5" t="s">
        <v>322</v>
      </c>
    </row>
    <row r="113" customFormat="false" ht="30" hidden="false" customHeight="true" outlineLevel="0" collapsed="false">
      <c r="A113" s="8" t="s">
        <v>30</v>
      </c>
      <c r="B113" s="8" t="s">
        <v>323</v>
      </c>
      <c r="C113" s="9" t="n">
        <v>212</v>
      </c>
      <c r="D113" s="8" t="s">
        <v>314</v>
      </c>
      <c r="E113" s="8" t="s">
        <v>11</v>
      </c>
      <c r="F113" s="10" t="s">
        <v>324</v>
      </c>
      <c r="G113" s="10" t="s">
        <v>325</v>
      </c>
      <c r="H113" s="8" t="s">
        <v>318</v>
      </c>
    </row>
    <row r="114" customFormat="false" ht="30" hidden="false" customHeight="true" outlineLevel="0" collapsed="false">
      <c r="A114" s="8" t="s">
        <v>30</v>
      </c>
      <c r="B114" s="8" t="s">
        <v>326</v>
      </c>
      <c r="C114" s="9" t="n">
        <v>101</v>
      </c>
      <c r="D114" s="8" t="s">
        <v>314</v>
      </c>
      <c r="E114" s="8" t="s">
        <v>16</v>
      </c>
      <c r="F114" s="10" t="s">
        <v>327</v>
      </c>
      <c r="G114" s="10"/>
      <c r="H114" s="8" t="s">
        <v>328</v>
      </c>
    </row>
    <row r="115" customFormat="false" ht="18.75" hidden="false" customHeight="true" outlineLevel="0" collapsed="false">
      <c r="A115" s="3" t="s">
        <v>329</v>
      </c>
      <c r="B115" s="3"/>
      <c r="C115" s="3"/>
      <c r="D115" s="3"/>
      <c r="E115" s="3"/>
      <c r="F115" s="3"/>
      <c r="G115" s="3"/>
      <c r="H115" s="3"/>
    </row>
    <row r="116" customFormat="false" ht="30" hidden="false" customHeight="true" outlineLevel="0" collapsed="false">
      <c r="A116" s="4" t="s">
        <v>9</v>
      </c>
      <c r="B116" s="5" t="s">
        <v>330</v>
      </c>
      <c r="C116" s="6" t="n">
        <v>231</v>
      </c>
      <c r="D116" s="5" t="s">
        <v>329</v>
      </c>
      <c r="E116" s="5" t="s">
        <v>11</v>
      </c>
      <c r="F116" s="7" t="s">
        <v>331</v>
      </c>
      <c r="G116" s="7" t="s">
        <v>332</v>
      </c>
      <c r="H116" s="5" t="s">
        <v>333</v>
      </c>
    </row>
    <row r="117" customFormat="false" ht="30" hidden="false" customHeight="true" outlineLevel="0" collapsed="false">
      <c r="A117" s="4" t="s">
        <v>9</v>
      </c>
      <c r="B117" s="5" t="s">
        <v>334</v>
      </c>
      <c r="C117" s="6" t="n">
        <v>106</v>
      </c>
      <c r="D117" s="5" t="s">
        <v>329</v>
      </c>
      <c r="E117" s="5" t="s">
        <v>47</v>
      </c>
      <c r="F117" s="7" t="s">
        <v>335</v>
      </c>
      <c r="G117" s="7" t="s">
        <v>336</v>
      </c>
      <c r="H117" s="5" t="s">
        <v>333</v>
      </c>
    </row>
    <row r="118" customFormat="false" ht="18.75" hidden="false" customHeight="true" outlineLevel="0" collapsed="false">
      <c r="A118" s="3" t="s">
        <v>337</v>
      </c>
      <c r="B118" s="3"/>
      <c r="C118" s="3"/>
      <c r="D118" s="3"/>
      <c r="E118" s="3"/>
      <c r="F118" s="3"/>
      <c r="G118" s="3"/>
      <c r="H118" s="3"/>
    </row>
    <row r="119" customFormat="false" ht="30" hidden="false" customHeight="true" outlineLevel="0" collapsed="false">
      <c r="A119" s="4" t="s">
        <v>9</v>
      </c>
      <c r="B119" s="5" t="s">
        <v>338</v>
      </c>
      <c r="C119" s="6" t="n">
        <v>14590</v>
      </c>
      <c r="D119" s="5" t="s">
        <v>337</v>
      </c>
      <c r="E119" s="5" t="s">
        <v>16</v>
      </c>
      <c r="F119" s="7" t="s">
        <v>339</v>
      </c>
      <c r="G119" s="7" t="s">
        <v>340</v>
      </c>
      <c r="H119" s="5" t="s">
        <v>341</v>
      </c>
    </row>
    <row r="120" customFormat="false" ht="18.75" hidden="false" customHeight="true" outlineLevel="0" collapsed="false">
      <c r="A120" s="3" t="s">
        <v>342</v>
      </c>
      <c r="B120" s="3"/>
      <c r="C120" s="3"/>
      <c r="D120" s="3"/>
      <c r="E120" s="3"/>
      <c r="F120" s="3"/>
      <c r="G120" s="3"/>
      <c r="H120" s="3"/>
    </row>
    <row r="121" customFormat="false" ht="30" hidden="false" customHeight="true" outlineLevel="0" collapsed="false">
      <c r="A121" s="8" t="s">
        <v>30</v>
      </c>
      <c r="B121" s="8" t="s">
        <v>343</v>
      </c>
      <c r="C121" s="9" t="n">
        <v>13488</v>
      </c>
      <c r="D121" s="8" t="s">
        <v>342</v>
      </c>
      <c r="E121" s="8" t="s">
        <v>95</v>
      </c>
      <c r="F121" s="10" t="s">
        <v>344</v>
      </c>
      <c r="G121" s="10"/>
      <c r="H121" s="8" t="s">
        <v>345</v>
      </c>
    </row>
    <row r="122" customFormat="false" ht="30" hidden="false" customHeight="true" outlineLevel="0" collapsed="false">
      <c r="A122" s="8" t="s">
        <v>30</v>
      </c>
      <c r="B122" s="8" t="s">
        <v>346</v>
      </c>
      <c r="C122" s="9" t="n">
        <v>7104</v>
      </c>
      <c r="D122" s="8" t="s">
        <v>342</v>
      </c>
      <c r="E122" s="8" t="s">
        <v>16</v>
      </c>
      <c r="F122" s="10" t="s">
        <v>347</v>
      </c>
      <c r="G122" s="10"/>
      <c r="H122" s="8" t="s">
        <v>345</v>
      </c>
    </row>
    <row r="123" customFormat="false" ht="30" hidden="false" customHeight="true" outlineLevel="0" collapsed="false">
      <c r="A123" s="8" t="s">
        <v>30</v>
      </c>
      <c r="B123" s="8" t="s">
        <v>348</v>
      </c>
      <c r="C123" s="9" t="n">
        <v>3249</v>
      </c>
      <c r="D123" s="8" t="s">
        <v>342</v>
      </c>
      <c r="E123" s="8" t="s">
        <v>34</v>
      </c>
      <c r="F123" s="10" t="s">
        <v>349</v>
      </c>
      <c r="G123" s="10"/>
      <c r="H123" s="8" t="s">
        <v>345</v>
      </c>
    </row>
    <row r="124" customFormat="false" ht="30" hidden="false" customHeight="true" outlineLevel="0" collapsed="false">
      <c r="A124" s="8" t="s">
        <v>30</v>
      </c>
      <c r="B124" s="8" t="s">
        <v>350</v>
      </c>
      <c r="C124" s="9" t="n">
        <v>2361</v>
      </c>
      <c r="D124" s="8" t="s">
        <v>342</v>
      </c>
      <c r="E124" s="8" t="s">
        <v>34</v>
      </c>
      <c r="F124" s="10" t="s">
        <v>351</v>
      </c>
      <c r="G124" s="10" t="s">
        <v>352</v>
      </c>
      <c r="H124" s="8" t="s">
        <v>345</v>
      </c>
    </row>
    <row r="125" customFormat="false" ht="30" hidden="false" customHeight="true" outlineLevel="0" collapsed="false">
      <c r="A125" s="8" t="s">
        <v>30</v>
      </c>
      <c r="B125" s="8" t="s">
        <v>353</v>
      </c>
      <c r="C125" s="9" t="n">
        <v>158</v>
      </c>
      <c r="D125" s="8" t="s">
        <v>342</v>
      </c>
      <c r="E125" s="8" t="s">
        <v>47</v>
      </c>
      <c r="F125" s="10" t="s">
        <v>354</v>
      </c>
      <c r="G125" s="10"/>
      <c r="H125" s="8" t="s">
        <v>345</v>
      </c>
    </row>
    <row r="126" customFormat="false" ht="30" hidden="false" customHeight="true" outlineLevel="0" collapsed="false">
      <c r="A126" s="8" t="s">
        <v>30</v>
      </c>
      <c r="B126" s="8" t="s">
        <v>355</v>
      </c>
      <c r="C126" s="9" t="n">
        <v>146</v>
      </c>
      <c r="D126" s="8" t="s">
        <v>342</v>
      </c>
      <c r="E126" s="8" t="s">
        <v>11</v>
      </c>
      <c r="F126" s="10" t="s">
        <v>356</v>
      </c>
      <c r="G126" s="10"/>
      <c r="H126" s="8" t="s">
        <v>345</v>
      </c>
    </row>
    <row r="127" customFormat="false" ht="30" hidden="false" customHeight="true" outlineLevel="0" collapsed="false">
      <c r="A127" s="8" t="s">
        <v>30</v>
      </c>
      <c r="B127" s="8" t="s">
        <v>357</v>
      </c>
      <c r="C127" s="9" t="n">
        <v>145</v>
      </c>
      <c r="D127" s="8" t="s">
        <v>342</v>
      </c>
      <c r="E127" s="8" t="s">
        <v>27</v>
      </c>
      <c r="F127" s="10" t="s">
        <v>358</v>
      </c>
      <c r="G127" s="10"/>
      <c r="H127" s="8" t="s">
        <v>345</v>
      </c>
    </row>
    <row r="128" customFormat="false" ht="30" hidden="false" customHeight="true" outlineLevel="0" collapsed="false">
      <c r="A128" s="8" t="s">
        <v>30</v>
      </c>
      <c r="B128" s="8" t="s">
        <v>359</v>
      </c>
      <c r="C128" s="9" t="n">
        <v>128</v>
      </c>
      <c r="D128" s="8" t="s">
        <v>342</v>
      </c>
      <c r="E128" s="8" t="s">
        <v>34</v>
      </c>
      <c r="F128" s="10" t="s">
        <v>360</v>
      </c>
      <c r="G128" s="10"/>
      <c r="H128" s="8" t="s">
        <v>345</v>
      </c>
    </row>
    <row r="129" customFormat="false" ht="18.75" hidden="false" customHeight="true" outlineLevel="0" collapsed="false">
      <c r="A129" s="3" t="s">
        <v>361</v>
      </c>
      <c r="B129" s="3"/>
      <c r="C129" s="3"/>
      <c r="D129" s="3"/>
      <c r="E129" s="3"/>
      <c r="F129" s="3"/>
      <c r="G129" s="3"/>
      <c r="H129" s="3"/>
    </row>
    <row r="130" customFormat="false" ht="30" hidden="false" customHeight="true" outlineLevel="0" collapsed="false">
      <c r="A130" s="8" t="s">
        <v>30</v>
      </c>
      <c r="B130" s="8" t="s">
        <v>362</v>
      </c>
      <c r="C130" s="9" t="n">
        <v>8384</v>
      </c>
      <c r="D130" s="8" t="s">
        <v>361</v>
      </c>
      <c r="E130" s="8" t="s">
        <v>176</v>
      </c>
      <c r="F130" s="10" t="s">
        <v>363</v>
      </c>
      <c r="G130" s="10"/>
      <c r="H130" s="8" t="s">
        <v>364</v>
      </c>
    </row>
    <row r="131" customFormat="false" ht="30" hidden="false" customHeight="true" outlineLevel="0" collapsed="false">
      <c r="A131" s="8" t="s">
        <v>30</v>
      </c>
      <c r="B131" s="8" t="s">
        <v>365</v>
      </c>
      <c r="C131" s="9" t="n">
        <v>1981</v>
      </c>
      <c r="D131" s="8" t="s">
        <v>361</v>
      </c>
      <c r="E131" s="8" t="s">
        <v>57</v>
      </c>
      <c r="F131" s="10" t="s">
        <v>366</v>
      </c>
      <c r="G131" s="10"/>
      <c r="H131" s="8" t="s">
        <v>266</v>
      </c>
    </row>
    <row r="132" customFormat="false" ht="30" hidden="false" customHeight="true" outlineLevel="0" collapsed="false">
      <c r="A132" s="8" t="s">
        <v>30</v>
      </c>
      <c r="B132" s="8" t="s">
        <v>367</v>
      </c>
      <c r="C132" s="9" t="n">
        <v>1728</v>
      </c>
      <c r="D132" s="8" t="s">
        <v>361</v>
      </c>
      <c r="E132" s="8" t="s">
        <v>16</v>
      </c>
      <c r="F132" s="10" t="s">
        <v>368</v>
      </c>
      <c r="G132" s="10"/>
      <c r="H132" s="8" t="s">
        <v>266</v>
      </c>
    </row>
    <row r="133" customFormat="false" ht="30" hidden="false" customHeight="true" outlineLevel="0" collapsed="false">
      <c r="A133" s="8" t="s">
        <v>30</v>
      </c>
      <c r="B133" s="8" t="s">
        <v>369</v>
      </c>
      <c r="C133" s="9" t="n">
        <v>1527</v>
      </c>
      <c r="D133" s="8" t="s">
        <v>361</v>
      </c>
      <c r="E133" s="8" t="s">
        <v>11</v>
      </c>
      <c r="F133" s="10" t="s">
        <v>370</v>
      </c>
      <c r="G133" s="10"/>
      <c r="H133" s="8" t="s">
        <v>266</v>
      </c>
    </row>
    <row r="134" customFormat="false" ht="30" hidden="false" customHeight="true" outlineLevel="0" collapsed="false">
      <c r="A134" s="8" t="s">
        <v>30</v>
      </c>
      <c r="B134" s="8" t="s">
        <v>371</v>
      </c>
      <c r="C134" s="9" t="n">
        <v>291</v>
      </c>
      <c r="D134" s="8" t="s">
        <v>361</v>
      </c>
      <c r="E134" s="8" t="s">
        <v>11</v>
      </c>
      <c r="F134" s="10" t="s">
        <v>372</v>
      </c>
      <c r="G134" s="10"/>
      <c r="H134" s="8" t="s">
        <v>266</v>
      </c>
    </row>
    <row r="135" customFormat="false" ht="30" hidden="false" customHeight="true" outlineLevel="0" collapsed="false">
      <c r="A135" s="8" t="s">
        <v>30</v>
      </c>
      <c r="B135" s="8" t="s">
        <v>373</v>
      </c>
      <c r="C135" s="9" t="n">
        <v>199</v>
      </c>
      <c r="D135" s="8" t="s">
        <v>361</v>
      </c>
      <c r="E135" s="8" t="s">
        <v>374</v>
      </c>
      <c r="F135" s="10" t="s">
        <v>375</v>
      </c>
      <c r="G135" s="10"/>
      <c r="H135" s="8" t="s">
        <v>266</v>
      </c>
    </row>
    <row r="136" customFormat="false" ht="30" hidden="false" customHeight="true" outlineLevel="0" collapsed="false">
      <c r="A136" s="8" t="s">
        <v>30</v>
      </c>
      <c r="B136" s="8" t="s">
        <v>376</v>
      </c>
      <c r="C136" s="9" t="n">
        <v>189</v>
      </c>
      <c r="D136" s="8" t="s">
        <v>361</v>
      </c>
      <c r="E136" s="8" t="s">
        <v>57</v>
      </c>
      <c r="F136" s="10" t="s">
        <v>377</v>
      </c>
      <c r="G136" s="10"/>
      <c r="H136" s="8" t="s">
        <v>266</v>
      </c>
    </row>
    <row r="137" customFormat="false" ht="30" hidden="false" customHeight="true" outlineLevel="0" collapsed="false">
      <c r="A137" s="8" t="s">
        <v>30</v>
      </c>
      <c r="B137" s="8" t="s">
        <v>378</v>
      </c>
      <c r="C137" s="9" t="n">
        <v>181</v>
      </c>
      <c r="D137" s="8" t="s">
        <v>361</v>
      </c>
      <c r="E137" s="8" t="s">
        <v>11</v>
      </c>
      <c r="F137" s="10" t="s">
        <v>379</v>
      </c>
      <c r="G137" s="10" t="s">
        <v>380</v>
      </c>
      <c r="H137" s="8" t="s">
        <v>266</v>
      </c>
    </row>
    <row r="138" customFormat="false" ht="30" hidden="false" customHeight="true" outlineLevel="0" collapsed="false">
      <c r="A138" s="8" t="s">
        <v>30</v>
      </c>
      <c r="B138" s="8" t="s">
        <v>381</v>
      </c>
      <c r="C138" s="9" t="n">
        <v>116</v>
      </c>
      <c r="D138" s="8" t="s">
        <v>361</v>
      </c>
      <c r="E138" s="8" t="s">
        <v>11</v>
      </c>
      <c r="F138" s="10" t="s">
        <v>382</v>
      </c>
      <c r="G138" s="10"/>
      <c r="H138" s="8" t="s">
        <v>266</v>
      </c>
    </row>
    <row r="139" customFormat="false" ht="18.75" hidden="false" customHeight="true" outlineLevel="0" collapsed="false">
      <c r="A139" s="3" t="s">
        <v>383</v>
      </c>
      <c r="B139" s="3"/>
      <c r="C139" s="3"/>
      <c r="D139" s="3"/>
      <c r="E139" s="3"/>
      <c r="F139" s="3"/>
      <c r="G139" s="3"/>
      <c r="H139" s="3"/>
    </row>
    <row r="140" customFormat="false" ht="30" hidden="false" customHeight="true" outlineLevel="0" collapsed="false">
      <c r="A140" s="4" t="s">
        <v>9</v>
      </c>
      <c r="B140" s="5" t="s">
        <v>384</v>
      </c>
      <c r="C140" s="6" t="n">
        <v>750</v>
      </c>
      <c r="D140" s="5" t="s">
        <v>383</v>
      </c>
      <c r="E140" s="5" t="s">
        <v>47</v>
      </c>
      <c r="F140" s="7" t="s">
        <v>385</v>
      </c>
      <c r="G140" s="7" t="s">
        <v>386</v>
      </c>
      <c r="H140" s="5" t="s">
        <v>387</v>
      </c>
    </row>
    <row r="141" customFormat="false" ht="30" hidden="false" customHeight="true" outlineLevel="0" collapsed="false">
      <c r="A141" s="8" t="s">
        <v>30</v>
      </c>
      <c r="B141" s="8" t="s">
        <v>388</v>
      </c>
      <c r="C141" s="9" t="n">
        <v>169753</v>
      </c>
      <c r="D141" s="8" t="s">
        <v>383</v>
      </c>
      <c r="E141" s="8" t="s">
        <v>11</v>
      </c>
      <c r="F141" s="10" t="s">
        <v>389</v>
      </c>
      <c r="G141" s="10" t="s">
        <v>390</v>
      </c>
      <c r="H141" s="8" t="s">
        <v>387</v>
      </c>
    </row>
    <row r="142" customFormat="false" ht="30" hidden="false" customHeight="true" outlineLevel="0" collapsed="false">
      <c r="A142" s="8" t="s">
        <v>30</v>
      </c>
      <c r="B142" s="8" t="s">
        <v>391</v>
      </c>
      <c r="C142" s="9" t="n">
        <v>44890</v>
      </c>
      <c r="D142" s="8" t="s">
        <v>383</v>
      </c>
      <c r="E142" s="8" t="s">
        <v>11</v>
      </c>
      <c r="F142" s="10" t="s">
        <v>392</v>
      </c>
      <c r="G142" s="10" t="s">
        <v>393</v>
      </c>
      <c r="H142" s="8" t="s">
        <v>387</v>
      </c>
    </row>
    <row r="143" customFormat="false" ht="30" hidden="false" customHeight="true" outlineLevel="0" collapsed="false">
      <c r="A143" s="8" t="s">
        <v>30</v>
      </c>
      <c r="B143" s="8" t="s">
        <v>394</v>
      </c>
      <c r="C143" s="9" t="n">
        <v>2746</v>
      </c>
      <c r="D143" s="8" t="s">
        <v>383</v>
      </c>
      <c r="E143" s="8" t="s">
        <v>395</v>
      </c>
      <c r="F143" s="10" t="s">
        <v>396</v>
      </c>
      <c r="G143" s="10" t="s">
        <v>397</v>
      </c>
      <c r="H143" s="8" t="s">
        <v>398</v>
      </c>
    </row>
    <row r="144" customFormat="false" ht="30" hidden="false" customHeight="true" outlineLevel="0" collapsed="false">
      <c r="A144" s="8" t="s">
        <v>30</v>
      </c>
      <c r="B144" s="8" t="s">
        <v>399</v>
      </c>
      <c r="C144" s="9" t="n">
        <v>949</v>
      </c>
      <c r="D144" s="8" t="s">
        <v>383</v>
      </c>
      <c r="E144" s="8" t="s">
        <v>11</v>
      </c>
      <c r="F144" s="10" t="s">
        <v>400</v>
      </c>
      <c r="G144" s="10" t="s">
        <v>401</v>
      </c>
      <c r="H144" s="8" t="s">
        <v>387</v>
      </c>
    </row>
    <row r="145" customFormat="false" ht="30" hidden="false" customHeight="true" outlineLevel="0" collapsed="false">
      <c r="A145" s="8" t="s">
        <v>30</v>
      </c>
      <c r="B145" s="8" t="s">
        <v>402</v>
      </c>
      <c r="C145" s="9" t="n">
        <v>614</v>
      </c>
      <c r="D145" s="8" t="s">
        <v>383</v>
      </c>
      <c r="E145" s="8" t="s">
        <v>11</v>
      </c>
      <c r="F145" s="10" t="s">
        <v>403</v>
      </c>
      <c r="G145" s="10"/>
      <c r="H145" s="8" t="s">
        <v>387</v>
      </c>
    </row>
    <row r="146" customFormat="false" ht="30" hidden="false" customHeight="true" outlineLevel="0" collapsed="false">
      <c r="A146" s="8" t="s">
        <v>30</v>
      </c>
      <c r="B146" s="8" t="s">
        <v>404</v>
      </c>
      <c r="C146" s="9" t="n">
        <v>528</v>
      </c>
      <c r="D146" s="8" t="s">
        <v>383</v>
      </c>
      <c r="E146" s="8" t="s">
        <v>11</v>
      </c>
      <c r="F146" s="10" t="s">
        <v>405</v>
      </c>
      <c r="G146" s="10"/>
      <c r="H146" s="8" t="s">
        <v>387</v>
      </c>
    </row>
    <row r="147" customFormat="false" ht="30" hidden="false" customHeight="true" outlineLevel="0" collapsed="false">
      <c r="A147" s="8" t="s">
        <v>30</v>
      </c>
      <c r="B147" s="8" t="s">
        <v>406</v>
      </c>
      <c r="C147" s="9" t="n">
        <v>173</v>
      </c>
      <c r="D147" s="8" t="s">
        <v>383</v>
      </c>
      <c r="E147" s="8" t="s">
        <v>11</v>
      </c>
      <c r="F147" s="10" t="s">
        <v>407</v>
      </c>
      <c r="G147" s="10" t="s">
        <v>408</v>
      </c>
      <c r="H147" s="8" t="s">
        <v>387</v>
      </c>
    </row>
    <row r="148" customFormat="false" ht="30" hidden="false" customHeight="true" outlineLevel="0" collapsed="false">
      <c r="A148" s="8" t="s">
        <v>30</v>
      </c>
      <c r="B148" s="8" t="s">
        <v>409</v>
      </c>
      <c r="C148" s="9" t="n">
        <v>158</v>
      </c>
      <c r="D148" s="8" t="s">
        <v>383</v>
      </c>
      <c r="E148" s="8" t="s">
        <v>11</v>
      </c>
      <c r="F148" s="10" t="s">
        <v>410</v>
      </c>
      <c r="G148" s="10" t="s">
        <v>411</v>
      </c>
      <c r="H148" s="8" t="s">
        <v>387</v>
      </c>
    </row>
    <row r="149" customFormat="false" ht="30" hidden="false" customHeight="true" outlineLevel="0" collapsed="false">
      <c r="A149" s="8" t="s">
        <v>30</v>
      </c>
      <c r="B149" s="8" t="s">
        <v>412</v>
      </c>
      <c r="C149" s="9" t="n">
        <v>124</v>
      </c>
      <c r="D149" s="8" t="s">
        <v>383</v>
      </c>
      <c r="E149" s="8" t="s">
        <v>34</v>
      </c>
      <c r="F149" s="10" t="s">
        <v>413</v>
      </c>
      <c r="G149" s="10" t="s">
        <v>414</v>
      </c>
      <c r="H149" s="8" t="s">
        <v>387</v>
      </c>
    </row>
    <row r="150" customFormat="false" ht="30" hidden="false" customHeight="true" outlineLevel="0" collapsed="false">
      <c r="A150" s="8" t="s">
        <v>30</v>
      </c>
      <c r="B150" s="8" t="s">
        <v>415</v>
      </c>
      <c r="C150" s="9" t="n">
        <v>120</v>
      </c>
      <c r="D150" s="8" t="s">
        <v>383</v>
      </c>
      <c r="E150" s="8" t="s">
        <v>34</v>
      </c>
      <c r="F150" s="10" t="s">
        <v>416</v>
      </c>
      <c r="G150" s="10" t="s">
        <v>417</v>
      </c>
      <c r="H150" s="8" t="s">
        <v>387</v>
      </c>
    </row>
    <row r="151" customFormat="false" ht="30" hidden="false" customHeight="true" outlineLevel="0" collapsed="false">
      <c r="A151" s="8" t="s">
        <v>30</v>
      </c>
      <c r="B151" s="8" t="s">
        <v>418</v>
      </c>
      <c r="C151" s="9" t="n">
        <v>105</v>
      </c>
      <c r="D151" s="8" t="s">
        <v>383</v>
      </c>
      <c r="E151" s="8" t="s">
        <v>47</v>
      </c>
      <c r="F151" s="10" t="s">
        <v>419</v>
      </c>
      <c r="G151" s="10" t="s">
        <v>420</v>
      </c>
      <c r="H151" s="8" t="s">
        <v>387</v>
      </c>
    </row>
    <row r="152" customFormat="false" ht="18.75" hidden="false" customHeight="true" outlineLevel="0" collapsed="false">
      <c r="A152" s="3" t="s">
        <v>421</v>
      </c>
      <c r="B152" s="3"/>
      <c r="C152" s="3"/>
      <c r="D152" s="3"/>
      <c r="E152" s="3"/>
      <c r="F152" s="3"/>
      <c r="G152" s="3"/>
      <c r="H152" s="3"/>
    </row>
    <row r="153" customFormat="false" ht="30" hidden="false" customHeight="true" outlineLevel="0" collapsed="false">
      <c r="A153" s="8" t="s">
        <v>30</v>
      </c>
      <c r="B153" s="8" t="s">
        <v>422</v>
      </c>
      <c r="C153" s="9" t="n">
        <v>1815</v>
      </c>
      <c r="D153" s="8" t="s">
        <v>421</v>
      </c>
      <c r="E153" s="8" t="s">
        <v>57</v>
      </c>
      <c r="F153" s="10" t="s">
        <v>423</v>
      </c>
      <c r="G153" s="10"/>
      <c r="H153" s="8" t="s">
        <v>424</v>
      </c>
    </row>
    <row r="154" customFormat="false" ht="30" hidden="false" customHeight="true" outlineLevel="0" collapsed="false">
      <c r="A154" s="8" t="s">
        <v>30</v>
      </c>
      <c r="B154" s="8" t="s">
        <v>425</v>
      </c>
      <c r="C154" s="9" t="n">
        <v>1468</v>
      </c>
      <c r="D154" s="8" t="s">
        <v>421</v>
      </c>
      <c r="E154" s="8" t="s">
        <v>95</v>
      </c>
      <c r="F154" s="10" t="s">
        <v>426</v>
      </c>
      <c r="G154" s="10"/>
      <c r="H154" s="8" t="s">
        <v>427</v>
      </c>
    </row>
    <row r="155" customFormat="false" ht="30" hidden="false" customHeight="true" outlineLevel="0" collapsed="false">
      <c r="A155" s="8" t="s">
        <v>30</v>
      </c>
      <c r="B155" s="8" t="s">
        <v>428</v>
      </c>
      <c r="C155" s="9" t="n">
        <v>1407</v>
      </c>
      <c r="D155" s="8" t="s">
        <v>421</v>
      </c>
      <c r="E155" s="8" t="s">
        <v>16</v>
      </c>
      <c r="F155" s="10" t="s">
        <v>429</v>
      </c>
      <c r="G155" s="10"/>
      <c r="H155" s="8" t="s">
        <v>424</v>
      </c>
    </row>
    <row r="156" customFormat="false" ht="18.75" hidden="false" customHeight="true" outlineLevel="0" collapsed="false">
      <c r="A156" s="3" t="s">
        <v>430</v>
      </c>
      <c r="B156" s="3"/>
      <c r="C156" s="3"/>
      <c r="D156" s="3"/>
      <c r="E156" s="3"/>
      <c r="F156" s="3"/>
      <c r="G156" s="3"/>
      <c r="H156" s="3"/>
    </row>
    <row r="157" customFormat="false" ht="30" hidden="false" customHeight="true" outlineLevel="0" collapsed="false">
      <c r="A157" s="4" t="s">
        <v>9</v>
      </c>
      <c r="B157" s="5" t="s">
        <v>431</v>
      </c>
      <c r="C157" s="6" t="n">
        <v>529</v>
      </c>
      <c r="D157" s="5" t="s">
        <v>430</v>
      </c>
      <c r="E157" s="5" t="s">
        <v>47</v>
      </c>
      <c r="F157" s="7" t="s">
        <v>432</v>
      </c>
      <c r="G157" s="7" t="s">
        <v>433</v>
      </c>
      <c r="H157" s="5" t="s">
        <v>434</v>
      </c>
    </row>
    <row r="158" customFormat="false" ht="30" hidden="false" customHeight="true" outlineLevel="0" collapsed="false">
      <c r="A158" s="8" t="s">
        <v>30</v>
      </c>
      <c r="B158" s="8" t="s">
        <v>435</v>
      </c>
      <c r="C158" s="9" t="n">
        <v>2490</v>
      </c>
      <c r="D158" s="8" t="s">
        <v>430</v>
      </c>
      <c r="E158" s="8" t="s">
        <v>11</v>
      </c>
      <c r="F158" s="10" t="s">
        <v>436</v>
      </c>
      <c r="G158" s="10" t="s">
        <v>437</v>
      </c>
      <c r="H158" s="8" t="s">
        <v>438</v>
      </c>
    </row>
    <row r="159" customFormat="false" ht="30" hidden="false" customHeight="true" outlineLevel="0" collapsed="false">
      <c r="A159" s="8" t="s">
        <v>30</v>
      </c>
      <c r="B159" s="8" t="s">
        <v>439</v>
      </c>
      <c r="C159" s="9" t="n">
        <v>1504</v>
      </c>
      <c r="D159" s="8" t="s">
        <v>430</v>
      </c>
      <c r="E159" s="8" t="s">
        <v>16</v>
      </c>
      <c r="F159" s="10" t="s">
        <v>440</v>
      </c>
      <c r="G159" s="10"/>
      <c r="H159" s="8" t="s">
        <v>441</v>
      </c>
    </row>
    <row r="160" customFormat="false" ht="30" hidden="false" customHeight="true" outlineLevel="0" collapsed="false">
      <c r="A160" s="8" t="s">
        <v>30</v>
      </c>
      <c r="B160" s="8" t="s">
        <v>442</v>
      </c>
      <c r="C160" s="9" t="n">
        <v>1195</v>
      </c>
      <c r="D160" s="8" t="s">
        <v>430</v>
      </c>
      <c r="E160" s="8" t="s">
        <v>11</v>
      </c>
      <c r="F160" s="10" t="s">
        <v>443</v>
      </c>
      <c r="G160" s="10" t="s">
        <v>444</v>
      </c>
      <c r="H160" s="8" t="s">
        <v>445</v>
      </c>
    </row>
    <row r="161" customFormat="false" ht="30" hidden="false" customHeight="true" outlineLevel="0" collapsed="false">
      <c r="A161" s="8" t="s">
        <v>30</v>
      </c>
      <c r="B161" s="8" t="s">
        <v>446</v>
      </c>
      <c r="C161" s="9" t="n">
        <v>481</v>
      </c>
      <c r="D161" s="8" t="s">
        <v>430</v>
      </c>
      <c r="E161" s="8" t="s">
        <v>176</v>
      </c>
      <c r="F161" s="10" t="s">
        <v>447</v>
      </c>
      <c r="G161" s="10"/>
      <c r="H161" s="8" t="s">
        <v>448</v>
      </c>
    </row>
    <row r="162" customFormat="false" ht="30" hidden="false" customHeight="true" outlineLevel="0" collapsed="false">
      <c r="A162" s="8" t="s">
        <v>30</v>
      </c>
      <c r="B162" s="8" t="s">
        <v>449</v>
      </c>
      <c r="C162" s="9" t="n">
        <v>211</v>
      </c>
      <c r="D162" s="8" t="s">
        <v>430</v>
      </c>
      <c r="E162" s="8" t="s">
        <v>16</v>
      </c>
      <c r="F162" s="10" t="s">
        <v>450</v>
      </c>
      <c r="G162" s="10"/>
      <c r="H162" s="8" t="s">
        <v>451</v>
      </c>
    </row>
    <row r="163" customFormat="false" ht="30" hidden="false" customHeight="true" outlineLevel="0" collapsed="false">
      <c r="A163" s="8" t="s">
        <v>30</v>
      </c>
      <c r="B163" s="8" t="s">
        <v>452</v>
      </c>
      <c r="C163" s="9" t="n">
        <v>131</v>
      </c>
      <c r="D163" s="8" t="s">
        <v>430</v>
      </c>
      <c r="E163" s="8" t="s">
        <v>11</v>
      </c>
      <c r="F163" s="10" t="s">
        <v>453</v>
      </c>
      <c r="G163" s="10"/>
      <c r="H163" s="8" t="s">
        <v>454</v>
      </c>
    </row>
    <row r="164" customFormat="false" ht="30" hidden="false" customHeight="true" outlineLevel="0" collapsed="false">
      <c r="A164" s="8" t="s">
        <v>30</v>
      </c>
      <c r="B164" s="8" t="s">
        <v>455</v>
      </c>
      <c r="C164" s="9" t="n">
        <v>104</v>
      </c>
      <c r="D164" s="8" t="s">
        <v>430</v>
      </c>
      <c r="E164" s="8" t="s">
        <v>11</v>
      </c>
      <c r="F164" s="10" t="s">
        <v>456</v>
      </c>
      <c r="G164" s="10" t="s">
        <v>457</v>
      </c>
      <c r="H164" s="8" t="s">
        <v>458</v>
      </c>
    </row>
  </sheetData>
  <autoFilter ref="A1:H164"/>
  <mergeCells count="18">
    <mergeCell ref="A2:H2"/>
    <mergeCell ref="A18:H18"/>
    <mergeCell ref="A43:H43"/>
    <mergeCell ref="A52:H52"/>
    <mergeCell ref="A61:H61"/>
    <mergeCell ref="A71:H71"/>
    <mergeCell ref="A87:H87"/>
    <mergeCell ref="A94:H94"/>
    <mergeCell ref="A99:H99"/>
    <mergeCell ref="A105:H105"/>
    <mergeCell ref="A110:H110"/>
    <mergeCell ref="A115:H115"/>
    <mergeCell ref="A118:H118"/>
    <mergeCell ref="A120:H120"/>
    <mergeCell ref="A129:H129"/>
    <mergeCell ref="A139:H139"/>
    <mergeCell ref="A152:H152"/>
    <mergeCell ref="A156:H1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</cols>
  <sheetData>
    <row r="1" customFormat="false" ht="15" hidden="false" customHeight="false" outlineLevel="0" collapsed="false">
      <c r="A1" s="11" t="s">
        <v>3</v>
      </c>
      <c r="B1" s="12" t="s">
        <v>459</v>
      </c>
      <c r="C1" s="12" t="s">
        <v>460</v>
      </c>
      <c r="D1" s="12" t="s">
        <v>461</v>
      </c>
    </row>
    <row r="2" customFormat="false" ht="15" hidden="false" customHeight="false" outlineLevel="0" collapsed="false">
      <c r="A2" s="13" t="s">
        <v>8</v>
      </c>
      <c r="B2" s="14" t="n">
        <f aca="false">COUNTIFS(Menu!D:D,A2,Menu!A:A,"GEM")</f>
        <v>5</v>
      </c>
      <c r="C2" s="14" t="n">
        <f aca="false">COUNTIFS(Menu!D:D,A2,Menu!A:A,"NOTABLE")</f>
        <v>10</v>
      </c>
      <c r="D2" s="14" t="n">
        <f aca="false">B2+C2</f>
        <v>15</v>
      </c>
    </row>
    <row r="3" customFormat="false" ht="15" hidden="false" customHeight="false" outlineLevel="0" collapsed="false">
      <c r="A3" s="13" t="s">
        <v>55</v>
      </c>
      <c r="B3" s="14" t="n">
        <f aca="false">COUNTIFS(Menu!D:D,A3,Menu!A:A,"GEM")</f>
        <v>7</v>
      </c>
      <c r="C3" s="14" t="n">
        <f aca="false">COUNTIFS(Menu!D:D,A3,Menu!A:A,"NOTABLE")</f>
        <v>17</v>
      </c>
      <c r="D3" s="14" t="n">
        <f aca="false">B3+C3</f>
        <v>24</v>
      </c>
    </row>
    <row r="4" customFormat="false" ht="15" hidden="false" customHeight="false" outlineLevel="0" collapsed="false">
      <c r="A4" s="13" t="s">
        <v>118</v>
      </c>
      <c r="B4" s="14" t="n">
        <f aca="false">COUNTIFS(Menu!D:D,A4,Menu!A:A,"GEM")</f>
        <v>4</v>
      </c>
      <c r="C4" s="14" t="n">
        <f aca="false">COUNTIFS(Menu!D:D,A4,Menu!A:A,"NOTABLE")</f>
        <v>4</v>
      </c>
      <c r="D4" s="14" t="n">
        <f aca="false">B4+C4</f>
        <v>8</v>
      </c>
    </row>
    <row r="5" customFormat="false" ht="15" hidden="false" customHeight="false" outlineLevel="0" collapsed="false">
      <c r="A5" s="13" t="s">
        <v>146</v>
      </c>
      <c r="B5" s="14" t="n">
        <f aca="false">COUNTIFS(Menu!D:D,A5,Menu!A:A,"GEM")</f>
        <v>5</v>
      </c>
      <c r="C5" s="14" t="n">
        <f aca="false">COUNTIFS(Menu!D:D,A5,Menu!A:A,"NOTABLE")</f>
        <v>3</v>
      </c>
      <c r="D5" s="14" t="n">
        <f aca="false">B5+C5</f>
        <v>8</v>
      </c>
    </row>
    <row r="6" customFormat="false" ht="15" hidden="false" customHeight="false" outlineLevel="0" collapsed="false">
      <c r="A6" s="13" t="s">
        <v>174</v>
      </c>
      <c r="B6" s="14" t="n">
        <f aca="false">COUNTIFS(Menu!D:D,A6,Menu!A:A,"GEM")</f>
        <v>2</v>
      </c>
      <c r="C6" s="14" t="n">
        <f aca="false">COUNTIFS(Menu!D:D,A6,Menu!A:A,"NOTABLE")</f>
        <v>7</v>
      </c>
      <c r="D6" s="14" t="n">
        <f aca="false">B6+C6</f>
        <v>9</v>
      </c>
    </row>
    <row r="7" customFormat="false" ht="15" hidden="false" customHeight="false" outlineLevel="0" collapsed="false">
      <c r="A7" s="13" t="s">
        <v>201</v>
      </c>
      <c r="B7" s="14" t="n">
        <f aca="false">COUNTIFS(Menu!D:D,A7,Menu!A:A,"GEM")</f>
        <v>3</v>
      </c>
      <c r="C7" s="14" t="n">
        <f aca="false">COUNTIFS(Menu!D:D,A7,Menu!A:A,"NOTABLE")</f>
        <v>12</v>
      </c>
      <c r="D7" s="14" t="n">
        <f aca="false">B7+C7</f>
        <v>15</v>
      </c>
    </row>
    <row r="8" customFormat="false" ht="15" hidden="false" customHeight="false" outlineLevel="0" collapsed="false">
      <c r="A8" s="13" t="s">
        <v>247</v>
      </c>
      <c r="B8" s="14" t="n">
        <f aca="false">COUNTIFS(Menu!D:D,A8,Menu!A:A,"GEM")</f>
        <v>2</v>
      </c>
      <c r="C8" s="14" t="n">
        <f aca="false">COUNTIFS(Menu!D:D,A8,Menu!A:A,"NOTABLE")</f>
        <v>4</v>
      </c>
      <c r="D8" s="14" t="n">
        <f aca="false">B8+C8</f>
        <v>6</v>
      </c>
    </row>
    <row r="9" customFormat="false" ht="15" hidden="false" customHeight="false" outlineLevel="0" collapsed="false">
      <c r="A9" s="13" t="s">
        <v>267</v>
      </c>
      <c r="B9" s="14" t="n">
        <f aca="false">COUNTIFS(Menu!D:D,A9,Menu!A:A,"GEM")</f>
        <v>1</v>
      </c>
      <c r="C9" s="14" t="n">
        <f aca="false">COUNTIFS(Menu!D:D,A9,Menu!A:A,"NOTABLE")</f>
        <v>3</v>
      </c>
      <c r="D9" s="14" t="n">
        <f aca="false">B9+C9</f>
        <v>4</v>
      </c>
    </row>
    <row r="10" customFormat="false" ht="15" hidden="false" customHeight="false" outlineLevel="0" collapsed="false">
      <c r="A10" s="13" t="s">
        <v>279</v>
      </c>
      <c r="B10" s="14" t="n">
        <f aca="false">COUNTIFS(Menu!D:D,A10,Menu!A:A,"GEM")</f>
        <v>2</v>
      </c>
      <c r="C10" s="14" t="n">
        <f aca="false">COUNTIFS(Menu!D:D,A10,Menu!A:A,"NOTABLE")</f>
        <v>3</v>
      </c>
      <c r="D10" s="14" t="n">
        <f aca="false">B10+C10</f>
        <v>5</v>
      </c>
    </row>
    <row r="11" customFormat="false" ht="15" hidden="false" customHeight="false" outlineLevel="0" collapsed="false">
      <c r="A11" s="13" t="s">
        <v>298</v>
      </c>
      <c r="B11" s="14" t="n">
        <f aca="false">COUNTIFS(Menu!D:D,A11,Menu!A:A,"GEM")</f>
        <v>1</v>
      </c>
      <c r="C11" s="14" t="n">
        <f aca="false">COUNTIFS(Menu!D:D,A11,Menu!A:A,"NOTABLE")</f>
        <v>3</v>
      </c>
      <c r="D11" s="14" t="n">
        <f aca="false">B11+C11</f>
        <v>4</v>
      </c>
    </row>
    <row r="12" customFormat="false" ht="15" hidden="false" customHeight="false" outlineLevel="0" collapsed="false">
      <c r="A12" s="13" t="s">
        <v>314</v>
      </c>
      <c r="B12" s="14" t="n">
        <f aca="false">COUNTIFS(Menu!D:D,A12,Menu!A:A,"GEM")</f>
        <v>2</v>
      </c>
      <c r="C12" s="14" t="n">
        <f aca="false">COUNTIFS(Menu!D:D,A12,Menu!A:A,"NOTABLE")</f>
        <v>2</v>
      </c>
      <c r="D12" s="14" t="n">
        <f aca="false">B12+C12</f>
        <v>4</v>
      </c>
    </row>
    <row r="13" customFormat="false" ht="15" hidden="false" customHeight="false" outlineLevel="0" collapsed="false">
      <c r="A13" s="13" t="s">
        <v>329</v>
      </c>
      <c r="B13" s="14" t="n">
        <f aca="false">COUNTIFS(Menu!D:D,A13,Menu!A:A,"GEM")</f>
        <v>2</v>
      </c>
      <c r="C13" s="14" t="n">
        <f aca="false">COUNTIFS(Menu!D:D,A13,Menu!A:A,"NOTABLE")</f>
        <v>0</v>
      </c>
      <c r="D13" s="14" t="n">
        <f aca="false">B13+C13</f>
        <v>2</v>
      </c>
    </row>
    <row r="14" customFormat="false" ht="15" hidden="false" customHeight="false" outlineLevel="0" collapsed="false">
      <c r="A14" s="13" t="s">
        <v>337</v>
      </c>
      <c r="B14" s="14" t="n">
        <f aca="false">COUNTIFS(Menu!D:D,A14,Menu!A:A,"GEM")</f>
        <v>1</v>
      </c>
      <c r="C14" s="14" t="n">
        <f aca="false">COUNTIFS(Menu!D:D,A14,Menu!A:A,"NOTABLE")</f>
        <v>0</v>
      </c>
      <c r="D14" s="14" t="n">
        <f aca="false">B14+C14</f>
        <v>1</v>
      </c>
    </row>
    <row r="15" customFormat="false" ht="15" hidden="false" customHeight="false" outlineLevel="0" collapsed="false">
      <c r="A15" s="13" t="s">
        <v>342</v>
      </c>
      <c r="B15" s="14" t="n">
        <f aca="false">COUNTIFS(Menu!D:D,A15,Menu!A:A,"GEM")</f>
        <v>0</v>
      </c>
      <c r="C15" s="14" t="n">
        <f aca="false">COUNTIFS(Menu!D:D,A15,Menu!A:A,"NOTABLE")</f>
        <v>8</v>
      </c>
      <c r="D15" s="14" t="n">
        <f aca="false">B15+C15</f>
        <v>8</v>
      </c>
    </row>
    <row r="16" customFormat="false" ht="15" hidden="false" customHeight="false" outlineLevel="0" collapsed="false">
      <c r="A16" s="13" t="s">
        <v>361</v>
      </c>
      <c r="B16" s="14" t="n">
        <f aca="false">COUNTIFS(Menu!D:D,A16,Menu!A:A,"GEM")</f>
        <v>0</v>
      </c>
      <c r="C16" s="14" t="n">
        <f aca="false">COUNTIFS(Menu!D:D,A16,Menu!A:A,"NOTABLE")</f>
        <v>9</v>
      </c>
      <c r="D16" s="14" t="n">
        <f aca="false">B16+C16</f>
        <v>9</v>
      </c>
    </row>
    <row r="17" customFormat="false" ht="15" hidden="false" customHeight="false" outlineLevel="0" collapsed="false">
      <c r="A17" s="13" t="s">
        <v>383</v>
      </c>
      <c r="B17" s="14" t="n">
        <f aca="false">COUNTIFS(Menu!D:D,A17,Menu!A:A,"GEM")</f>
        <v>1</v>
      </c>
      <c r="C17" s="14" t="n">
        <f aca="false">COUNTIFS(Menu!D:D,A17,Menu!A:A,"NOTABLE")</f>
        <v>11</v>
      </c>
      <c r="D17" s="14" t="n">
        <f aca="false">B17+C17</f>
        <v>12</v>
      </c>
    </row>
    <row r="18" customFormat="false" ht="15" hidden="false" customHeight="false" outlineLevel="0" collapsed="false">
      <c r="A18" s="13" t="s">
        <v>421</v>
      </c>
      <c r="B18" s="14" t="n">
        <f aca="false">COUNTIFS(Menu!D:D,A18,Menu!A:A,"GEM")</f>
        <v>0</v>
      </c>
      <c r="C18" s="14" t="n">
        <f aca="false">COUNTIFS(Menu!D:D,A18,Menu!A:A,"NOTABLE")</f>
        <v>3</v>
      </c>
      <c r="D18" s="14" t="n">
        <f aca="false">B18+C18</f>
        <v>3</v>
      </c>
    </row>
    <row r="19" customFormat="false" ht="15" hidden="false" customHeight="false" outlineLevel="0" collapsed="false">
      <c r="A19" s="13" t="s">
        <v>430</v>
      </c>
      <c r="B19" s="14" t="n">
        <f aca="false">COUNTIFS(Menu!D:D,A19,Menu!A:A,"GEM")</f>
        <v>1</v>
      </c>
      <c r="C19" s="14" t="n">
        <f aca="false">COUNTIFS(Menu!D:D,A19,Menu!A:A,"NOTABLE")</f>
        <v>7</v>
      </c>
      <c r="D19" s="14" t="n">
        <f aca="false">B19+C19</f>
        <v>8</v>
      </c>
    </row>
    <row r="20" customFormat="false" ht="15" hidden="false" customHeight="false" outlineLevel="0" collapsed="false">
      <c r="A20" s="15" t="s">
        <v>462</v>
      </c>
      <c r="B20" s="16" t="n">
        <f aca="false">SUM(B2:B19)</f>
        <v>39</v>
      </c>
      <c r="C20" s="16" t="n">
        <f aca="false">SUM(C2:C19)</f>
        <v>106</v>
      </c>
      <c r="D20" s="16" t="n">
        <f aca="false">SUM(D2:D19)</f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2026-05-28T12:51:45Z</dcterms:created>
  <dc:creator>openpyxl</dc:creator>
  <dc:description/>
  <dc:language>en-US</dc:language>
  <cp:lastModifiedBy/>
  <dcterms:modified xsi:type="dcterms:W3CDTF">2026-05-28T12:51:45Z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